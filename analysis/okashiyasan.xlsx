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\vendor_camera_ts\analysis\"/>
    </mc:Choice>
  </mc:AlternateContent>
  <xr:revisionPtr revIDLastSave="0" documentId="13_ncr:1_{21C4E9A9-7568-43B9-8801-85039EC72BB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history" sheetId="2" r:id="rId2"/>
    <sheet name="sta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1" i="2" l="1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K2" i="3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G22" i="3"/>
  <c r="G21" i="3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36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00" i="2"/>
  <c r="J82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G17" i="3"/>
  <c r="G13" i="3"/>
  <c r="G7" i="3"/>
  <c r="G11" i="3"/>
  <c r="G14" i="3"/>
  <c r="G12" i="3"/>
  <c r="G20" i="3"/>
  <c r="G15" i="3"/>
  <c r="G2" i="3"/>
  <c r="G5" i="3"/>
  <c r="G4" i="3"/>
  <c r="G10" i="3"/>
  <c r="G16" i="3"/>
  <c r="G18" i="3"/>
  <c r="G8" i="3"/>
  <c r="G19" i="3"/>
  <c r="G9" i="3"/>
  <c r="G6" i="3"/>
  <c r="G3" i="3"/>
  <c r="F11" i="3"/>
  <c r="F14" i="3"/>
  <c r="F12" i="3"/>
  <c r="J109" i="2" s="1"/>
  <c r="F20" i="3"/>
  <c r="F15" i="3"/>
  <c r="J85" i="2" s="1"/>
  <c r="F2" i="3"/>
  <c r="J33" i="2" s="1"/>
  <c r="F5" i="3"/>
  <c r="F4" i="3"/>
  <c r="J267" i="2" s="1"/>
  <c r="F10" i="3"/>
  <c r="J241" i="2" s="1"/>
  <c r="F16" i="3"/>
  <c r="F18" i="3"/>
  <c r="F8" i="3"/>
  <c r="J157" i="2" s="1"/>
  <c r="F19" i="3"/>
  <c r="F9" i="3"/>
  <c r="J229" i="2" s="1"/>
  <c r="F6" i="3"/>
  <c r="J194" i="2" s="1"/>
  <c r="F3" i="3"/>
  <c r="F17" i="3"/>
  <c r="J228" i="2" s="1"/>
  <c r="J61" i="2"/>
  <c r="J216" i="2"/>
  <c r="F13" i="3"/>
  <c r="J273" i="2" s="1"/>
  <c r="F7" i="3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2" i="1"/>
  <c r="K1" i="3" l="1"/>
  <c r="J221" i="2"/>
  <c r="J185" i="2"/>
  <c r="J112" i="2"/>
  <c r="J3" i="2"/>
  <c r="J101" i="2"/>
  <c r="J233" i="2"/>
  <c r="J113" i="2"/>
  <c r="J160" i="2"/>
  <c r="J161" i="2"/>
  <c r="J268" i="2"/>
  <c r="J87" i="2"/>
  <c r="J4" i="2"/>
  <c r="J89" i="2"/>
  <c r="J137" i="2"/>
  <c r="J220" i="2"/>
  <c r="J2" i="2"/>
  <c r="J86" i="2"/>
  <c r="J99" i="2"/>
  <c r="J110" i="2"/>
  <c r="J134" i="2"/>
  <c r="J158" i="2"/>
  <c r="J181" i="2"/>
  <c r="J193" i="2"/>
  <c r="J219" i="2"/>
  <c r="J230" i="2"/>
  <c r="J240" i="2"/>
  <c r="J266" i="2"/>
  <c r="J5" i="2"/>
  <c r="J88" i="2"/>
  <c r="J98" i="2"/>
  <c r="J111" i="2"/>
  <c r="J135" i="2"/>
  <c r="J159" i="2"/>
  <c r="J184" i="2"/>
  <c r="J195" i="2"/>
  <c r="J218" i="2"/>
  <c r="J231" i="2"/>
  <c r="J265" i="2"/>
  <c r="J183" i="2"/>
  <c r="J269" i="2"/>
  <c r="J6" i="2"/>
  <c r="J92" i="2"/>
  <c r="J102" i="2"/>
  <c r="J115" i="2"/>
  <c r="J162" i="2"/>
  <c r="J186" i="2"/>
  <c r="J222" i="2"/>
  <c r="J234" i="2"/>
  <c r="J270" i="2"/>
  <c r="J7" i="2"/>
  <c r="J31" i="2"/>
  <c r="J91" i="2"/>
  <c r="J103" i="2"/>
  <c r="J114" i="2"/>
  <c r="J187" i="2"/>
  <c r="J223" i="2"/>
  <c r="J236" i="2"/>
  <c r="J271" i="2"/>
  <c r="J232" i="2"/>
  <c r="J8" i="2"/>
  <c r="J32" i="2"/>
  <c r="J56" i="2"/>
  <c r="J80" i="2"/>
  <c r="J90" i="2"/>
  <c r="J104" i="2"/>
  <c r="J188" i="2"/>
  <c r="J224" i="2"/>
  <c r="J235" i="2"/>
  <c r="J9" i="2"/>
  <c r="J57" i="2"/>
  <c r="J81" i="2"/>
  <c r="J94" i="2"/>
  <c r="J105" i="2"/>
  <c r="J189" i="2"/>
  <c r="J225" i="2"/>
  <c r="J237" i="2"/>
  <c r="J261" i="2"/>
  <c r="J272" i="2"/>
  <c r="J10" i="2"/>
  <c r="J34" i="2"/>
  <c r="J58" i="2"/>
  <c r="J93" i="2"/>
  <c r="J106" i="2"/>
  <c r="J190" i="2"/>
  <c r="J226" i="2"/>
  <c r="J238" i="2"/>
  <c r="J262" i="2"/>
  <c r="J274" i="2"/>
  <c r="J35" i="2"/>
  <c r="J59" i="2"/>
  <c r="J84" i="2"/>
  <c r="J95" i="2"/>
  <c r="J107" i="2"/>
  <c r="J191" i="2"/>
  <c r="J227" i="2"/>
  <c r="J239" i="2"/>
  <c r="J263" i="2"/>
  <c r="J275" i="2"/>
  <c r="J36" i="2"/>
  <c r="J60" i="2"/>
  <c r="J83" i="2"/>
  <c r="J96" i="2"/>
  <c r="J108" i="2"/>
  <c r="J156" i="2"/>
  <c r="J192" i="2"/>
  <c r="J217" i="2"/>
  <c r="J242" i="2"/>
  <c r="J264" i="2"/>
  <c r="J37" i="2"/>
  <c r="J97" i="2"/>
  <c r="J182" i="2"/>
  <c r="M1" i="2" l="1"/>
</calcChain>
</file>

<file path=xl/sharedStrings.xml><?xml version="1.0" encoding="utf-8"?>
<sst xmlns="http://schemas.openxmlformats.org/spreadsheetml/2006/main" count="2474" uniqueCount="693">
  <si>
    <t>操作ID</t>
  </si>
  <si>
    <t>商品名</t>
  </si>
  <si>
    <t>売上数</t>
  </si>
  <si>
    <t>単価</t>
  </si>
  <si>
    <t>日時</t>
  </si>
  <si>
    <t>sht_e769c59c5bcb6f8e2a52cdd</t>
  </si>
  <si>
    <t>ｷﾞﾝﾋﾞｽ しみチョココーン全粒粉 スティック</t>
  </si>
  <si>
    <t>2026-07-06 10:47:24</t>
  </si>
  <si>
    <t>sht_70b9de5eade8e3e8c700945</t>
  </si>
  <si>
    <t>2026-07-06 10:57:28</t>
  </si>
  <si>
    <t>sht_e2c529d389751c202ba9f70</t>
  </si>
  <si>
    <t>なとり ペンシルカルパス</t>
  </si>
  <si>
    <t>sht_e8d72d745b7a1e97d5cd5b6</t>
  </si>
  <si>
    <t>ﾌﾞﾙﾎﾞﾝ プチポテト うすしお味</t>
  </si>
  <si>
    <t>sht_a53639972eee08b971f5148</t>
  </si>
  <si>
    <t>ﾌﾞﾙﾎﾞﾝ プチポテト コンソメ味</t>
  </si>
  <si>
    <t>2026-07-06 10:58:10</t>
  </si>
  <si>
    <t>sht_8c1f2c32728e0a2662e3e04</t>
  </si>
  <si>
    <t>宮田 ヤングドーナツ</t>
  </si>
  <si>
    <t>2026-07-06 11:38:24</t>
  </si>
  <si>
    <t>sht_b2bc9f70ee4b6166a333773</t>
  </si>
  <si>
    <t>ﾓﾝﾃﾞﾘｰｽﾞ クロレッツXP オリジナル</t>
  </si>
  <si>
    <t>2026-07-06 11:45:39</t>
  </si>
  <si>
    <t>sht_5859173e595b6a1619c569d</t>
  </si>
  <si>
    <t>2026-07-06 12:24:25</t>
  </si>
  <si>
    <t>sht_ce2e1a49bf4ca75b1c24079</t>
  </si>
  <si>
    <t>2026-07-06 12:44:53</t>
  </si>
  <si>
    <t>sht_5ec4ed445e90926ec24eff0</t>
  </si>
  <si>
    <t>2026-07-06 13:09:30</t>
  </si>
  <si>
    <t>sht_5d2e79d628b1177c8252da6</t>
  </si>
  <si>
    <t>2026-07-06 14:19:40</t>
  </si>
  <si>
    <t>sht_768e229f66e055c75897651</t>
  </si>
  <si>
    <t>ｶﾙﾋﾞｰ じゃがりこ サラダ</t>
  </si>
  <si>
    <t>2026-07-06 14:34:09</t>
  </si>
  <si>
    <t>sht_b407c492bb1b89c28d47668</t>
  </si>
  <si>
    <t>森永 大粒ラムネ</t>
  </si>
  <si>
    <t>2026-07-06 15:40:58</t>
  </si>
  <si>
    <t>sht_f485ecea3635042b2487cd6</t>
  </si>
  <si>
    <t>2026-07-06 16:17:55</t>
  </si>
  <si>
    <t>sht_6f3dbea82cba94d716daf17</t>
  </si>
  <si>
    <t>2026-07-06 16:18:27</t>
  </si>
  <si>
    <t>sht_d28266089c5561ed8c9dfe0</t>
  </si>
  <si>
    <t>2026-07-06 16:21:56</t>
  </si>
  <si>
    <t>sht_c0c16ddcf70fbb6ee7ba2f5</t>
  </si>
  <si>
    <t>2026-07-06 17:21:01</t>
  </si>
  <si>
    <t>sht_6529f18a716b05e36366fd2</t>
  </si>
  <si>
    <t>東豊 ポテトフライ じゃが塩バター味</t>
  </si>
  <si>
    <t>2026-07-06 17:53:31</t>
  </si>
  <si>
    <t>sht_f42dded58be8ece64b43130</t>
  </si>
  <si>
    <t>亀田 ハッピーターン 小袋</t>
  </si>
  <si>
    <t>2026-07-06 17:53:34</t>
  </si>
  <si>
    <t>sht_70e61bcde1921d30987bb48</t>
  </si>
  <si>
    <t>2026-07-06 18:49:14</t>
  </si>
  <si>
    <t>sht_3a1a5d8b2c4dc0615a20920</t>
  </si>
  <si>
    <t>2026-07-06 19:50:29</t>
  </si>
  <si>
    <t>sht_122de97569f675796ea6e47</t>
  </si>
  <si>
    <t>2026-07-07 08:12:42</t>
  </si>
  <si>
    <t>sht_0317406882e471f78cfc27c</t>
  </si>
  <si>
    <t>2026-07-07 11:53:42</t>
  </si>
  <si>
    <t>sht_8309dfbda1d7ca25101908f</t>
  </si>
  <si>
    <t>2026-07-07 11:53:57</t>
  </si>
  <si>
    <t>sht_bfebfd69490b2b1199ca32a</t>
  </si>
  <si>
    <t>日清 カップヌードル</t>
  </si>
  <si>
    <t>2026-07-07 12:12:17</t>
  </si>
  <si>
    <t>sht_73e6d7d8f12ee3059f4e267</t>
  </si>
  <si>
    <t>2026-07-07 12:21:46</t>
  </si>
  <si>
    <t>sht_ee19e6daec9e3d0982dcd5b</t>
  </si>
  <si>
    <t>sht_3f6ada8f3f533eae71f1702</t>
  </si>
  <si>
    <t>2026-07-07 14:31:03</t>
  </si>
  <si>
    <t>sht_a8cf5b508f34684d95e0a87</t>
  </si>
  <si>
    <t>2026-07-07 15:26:19</t>
  </si>
  <si>
    <t>sht_500d2a5a1111f9a64db24e4</t>
  </si>
  <si>
    <t>2026-07-07 16:27:16</t>
  </si>
  <si>
    <t>sht_afb08c8eb6c3c7c69db6ed9</t>
  </si>
  <si>
    <t>sht_2f75d7556834a9afe3d3357</t>
  </si>
  <si>
    <t>2026-07-07 16:35:33</t>
  </si>
  <si>
    <t>sht_e2155a2bcb41a2fdd32ae44</t>
  </si>
  <si>
    <t>2026-07-07 16:47:53</t>
  </si>
  <si>
    <t>sht_395d5e6fbae9ef05d853cf4</t>
  </si>
  <si>
    <t>sht_82adab197242cd004cd96cc</t>
  </si>
  <si>
    <t>sht_159a597db7d3a4ccb1be12d</t>
  </si>
  <si>
    <t>2026-07-07 17:16:42</t>
  </si>
  <si>
    <t>sht_ff706bdcf15bb3d3d47d70d</t>
  </si>
  <si>
    <t>sht_caa35d377f62373e97de544</t>
  </si>
  <si>
    <t>2026-07-07 17:31:22</t>
  </si>
  <si>
    <t>sht_f8b6ef154554de5e7d60383</t>
  </si>
  <si>
    <t>2026-07-07 17:53:13</t>
  </si>
  <si>
    <t>sht_3acc6c802c373c73ad84ee3</t>
  </si>
  <si>
    <t>2026-07-07 18:01:55</t>
  </si>
  <si>
    <t>sht_89e09616f35d54a87175590</t>
  </si>
  <si>
    <t>2026-07-08 11:45:40</t>
  </si>
  <si>
    <t>sht_39ec66eba02063f2b093952</t>
  </si>
  <si>
    <t>sht_0a3e60dc87738b4f2dfe917</t>
  </si>
  <si>
    <t>大塚 ソイジョイ アーモンド＆チョコレート</t>
  </si>
  <si>
    <t>2026-07-08 11:46:26</t>
  </si>
  <si>
    <t>sht_0ba7ad8a966c7deb9642a8b</t>
  </si>
  <si>
    <t>龍角散ののどすっきり飴</t>
  </si>
  <si>
    <t>2026-07-08 14:03:47</t>
  </si>
  <si>
    <t>sht_3012c0878fc0de42b959a4d</t>
  </si>
  <si>
    <t>2026-07-08 14:04:58</t>
  </si>
  <si>
    <t>sht_102f4726a09de3fd2feef0a</t>
  </si>
  <si>
    <t>2026-07-08 14:05:51</t>
  </si>
  <si>
    <t>sht_d9f16e70fa2797ec871bacc</t>
  </si>
  <si>
    <t>2026-07-08 15:47:36</t>
  </si>
  <si>
    <t>sht_687addbe6cdc5bda4428f6f</t>
  </si>
  <si>
    <t>2026-07-08 15:48:30</t>
  </si>
  <si>
    <t>sht_c0a84a19335b4506ada06a4</t>
  </si>
  <si>
    <t>2026-07-08 16:31:55</t>
  </si>
  <si>
    <t>sht_506044c993bc2f2c7e77862</t>
  </si>
  <si>
    <t>2026-07-08 16:45:24</t>
  </si>
  <si>
    <t>sht_bb4037effc26c25753fd199</t>
  </si>
  <si>
    <t>2026-07-08 17:00:33</t>
  </si>
  <si>
    <t>sht_d7652b25af1c3f56c4734ed</t>
  </si>
  <si>
    <t>2026-07-08 17:23:46</t>
  </si>
  <si>
    <t>sht_54967a781fe3e3ac261fcb4</t>
  </si>
  <si>
    <t>2026-07-08 17:34:18</t>
  </si>
  <si>
    <t>sht_7a695a037c290e62ae3de51</t>
  </si>
  <si>
    <t>2026-07-08 17:35:31</t>
  </si>
  <si>
    <t>sht_d68ddc84070d09c83ca0fd4</t>
  </si>
  <si>
    <t>2026-07-08 17:49:20</t>
  </si>
  <si>
    <t>sht_927fbc1c9a01dd09ddd260d</t>
  </si>
  <si>
    <t>2026-07-08 18:03:01</t>
  </si>
  <si>
    <t>sht_9542d05f0e8fd3d76c45c04</t>
  </si>
  <si>
    <t>2026-07-08 18:22:28</t>
  </si>
  <si>
    <t>sht_29b85013c8dc297f73aa5de</t>
  </si>
  <si>
    <t>sht_b68fb266eb3a1d905e07824</t>
  </si>
  <si>
    <t>2026-07-08 19:14:26</t>
  </si>
  <si>
    <t>sht_94e2d0f40c06ecabb5996fa</t>
  </si>
  <si>
    <t>ﾓﾝﾃﾞﾘｰｽﾞ クロレッツXP クリアミント</t>
  </si>
  <si>
    <t>2026-07-09 08:13:03</t>
  </si>
  <si>
    <t>sht_f2491b87ac20e0c3abe61c5</t>
  </si>
  <si>
    <t>2026-07-09 10:07:41</t>
  </si>
  <si>
    <t>sht_27f9fb45f86cf663216268f</t>
  </si>
  <si>
    <t>2026-07-09 12:46:32</t>
  </si>
  <si>
    <t>sht_200c77a3528e3accd67f123</t>
  </si>
  <si>
    <t>2026-07-09 13:21:24</t>
  </si>
  <si>
    <t>sht_0eeb10cadd4292e082ae856</t>
  </si>
  <si>
    <t>2026-07-09 14:19:54</t>
  </si>
  <si>
    <t>sht_191c010b5e8ee1244b644ef</t>
  </si>
  <si>
    <t>2026-07-09 14:33:52</t>
  </si>
  <si>
    <t>sht_1970547f67f53b3d5244b1a</t>
  </si>
  <si>
    <t>2026-07-09 15:40:18</t>
  </si>
  <si>
    <t>sht_4df6efd941d84949e673648</t>
  </si>
  <si>
    <t>2026-07-09 18:53:10</t>
  </si>
  <si>
    <t>sht_2b2e771c4ec9cfc8836039c</t>
  </si>
  <si>
    <t>2026-07-09 20:14:23</t>
  </si>
  <si>
    <t>sht_5e3ace87fb19eb84a810449</t>
  </si>
  <si>
    <t>2026-07-10 10:10:40</t>
  </si>
  <si>
    <t>sht_c730ddeb89dcae704bd2743</t>
  </si>
  <si>
    <t>sht_b8741d277e4924eb8e694e4</t>
  </si>
  <si>
    <t>2026-07-10 11:56:11</t>
  </si>
  <si>
    <t>sht_c5ad5627ead42172c98d5a4</t>
  </si>
  <si>
    <t>sht_3adce4e0e249eee2e784079</t>
  </si>
  <si>
    <t>2026-07-10 16:18:36</t>
  </si>
  <si>
    <t>sht_7bca5c1df31583c6b30d2c4</t>
  </si>
  <si>
    <t>2026-07-10 16:32:27</t>
  </si>
  <si>
    <t>sht_1480b8b7f392a42ad6d56d5</t>
  </si>
  <si>
    <t>2026-07-10 17:58:47</t>
  </si>
  <si>
    <t>sht_cf1524acc05dfb5d5adee5b</t>
  </si>
  <si>
    <t>2026-07-10 17:58:50</t>
  </si>
  <si>
    <t>sht_2d498f670e704cfd1f5d9a5</t>
  </si>
  <si>
    <t>2026-07-13 09:59:08</t>
  </si>
  <si>
    <t>sht_f2ee732a9ac30bd50ce85cf</t>
  </si>
  <si>
    <t>2026-07-13 11:56:40</t>
  </si>
  <si>
    <t>sht_fb16b86b586e9a85a83bfdb</t>
  </si>
  <si>
    <t>2026-07-13 15:34:02</t>
  </si>
  <si>
    <t>sht_3ba52a5d0c58501c8132cd3</t>
  </si>
  <si>
    <t>2026-07-13 15:34:49</t>
  </si>
  <si>
    <t>sht_3f288e210c4af35d82348c4</t>
  </si>
  <si>
    <t>2026-07-13 16:28:52</t>
  </si>
  <si>
    <t>sht_da69ee22e3e79a40da8707e</t>
  </si>
  <si>
    <t>sht_4fc394ef04c0ce58279a7c7</t>
  </si>
  <si>
    <t>2026-07-13 17:05:14</t>
  </si>
  <si>
    <t>sht_cc29f24ef4818b4c628a77b</t>
  </si>
  <si>
    <t>2026-07-13 17:41:15</t>
  </si>
  <si>
    <t>sht_28859e7d7c98313f79832b4</t>
  </si>
  <si>
    <t>sht_3fc664bcbb8b0572060f0ee</t>
  </si>
  <si>
    <t>2026-07-13 18:28:28</t>
  </si>
  <si>
    <t>sht_7a8762b2dc0fa05230f5799</t>
  </si>
  <si>
    <t>sht_aeb781574d2e966f25cab13</t>
  </si>
  <si>
    <t>2026-07-13 18:44:20</t>
  </si>
  <si>
    <t>sht_ecad95dad5f17e94f9da190</t>
  </si>
  <si>
    <t>2026-07-13 19:56:45</t>
  </si>
  <si>
    <t>sht_ec1990186301e6658155262</t>
  </si>
  <si>
    <t>2026-07-14 07:18:50</t>
  </si>
  <si>
    <t>sht_c2e0522872adc8adf0ca38e</t>
  </si>
  <si>
    <t>2026-07-14 08:47:56</t>
  </si>
  <si>
    <t>sht_1a9f0bb1353bc5180ab9eb0</t>
  </si>
  <si>
    <t>2026-07-14 09:51:38</t>
  </si>
  <si>
    <t>sht_f5dfae45f0570c14c9ef777</t>
  </si>
  <si>
    <t>2026-07-14 11:40:41</t>
  </si>
  <si>
    <t>sht_51740914f09d2971815717a</t>
  </si>
  <si>
    <t>2026-07-14 12:37:00</t>
  </si>
  <si>
    <t>sht_13a882e29bb203b9bab3627</t>
  </si>
  <si>
    <t>2026-07-14 13:36:01</t>
  </si>
  <si>
    <t>sht_f68fc0c4269cec5085fbcad</t>
  </si>
  <si>
    <t>2026-07-14 15:25:04</t>
  </si>
  <si>
    <t>sht_4a8e51433c551edb6001b39</t>
  </si>
  <si>
    <t>2026-07-14 15:38:49</t>
  </si>
  <si>
    <t>sht_98f268fce090063ae04feb8</t>
  </si>
  <si>
    <t>2026-07-14 15:45:47</t>
  </si>
  <si>
    <t>sht_210719f71875d86e2b01986</t>
  </si>
  <si>
    <t>2026-07-14 16:08:41</t>
  </si>
  <si>
    <t>sht_f1886e0cc4a9d0380655259</t>
  </si>
  <si>
    <t>2026-07-14 18:25:47</t>
  </si>
  <si>
    <t>sht_aecc37415dd9bc88d5ba0bd</t>
  </si>
  <si>
    <t>ﾌﾞﾙﾎﾞﾝ プチ うましおプレッツェル</t>
  </si>
  <si>
    <t>sht_2b480efd4600e8979d321e8</t>
  </si>
  <si>
    <t>2026-07-14 18:47:13</t>
  </si>
  <si>
    <t>sht_864ee3ddd35e2d70bc11649</t>
  </si>
  <si>
    <t>2026-07-14 19:07:54</t>
  </si>
  <si>
    <t>sht_5683d2e77deab0182a161ba</t>
  </si>
  <si>
    <t>sht_d444bf683936635256548c3</t>
  </si>
  <si>
    <t>2026-07-14 19:23:21</t>
  </si>
  <si>
    <t>sht_a618ae772b6969e717b44a7</t>
  </si>
  <si>
    <t>2026-07-15 08:11:49</t>
  </si>
  <si>
    <t>sht_dd38c2e568706d1ea6c98e5</t>
  </si>
  <si>
    <t>2026-07-15 13:07:35</t>
  </si>
  <si>
    <t>sht_7096943348b283c606079b9</t>
  </si>
  <si>
    <t>2026-07-15 15:07:38</t>
  </si>
  <si>
    <t>sht_81e43c5aa017ea1017feea8</t>
  </si>
  <si>
    <t>sht_5fa1f1400d82ac16ac02054</t>
  </si>
  <si>
    <t>sht_f378f0a62e28238916756dd</t>
  </si>
  <si>
    <t>2026-07-16 13:06:24</t>
  </si>
  <si>
    <t>sht_223e1b4fb2b4ce5b9f362d7</t>
  </si>
  <si>
    <t>2026-07-16 15:53:32</t>
  </si>
  <si>
    <t>sht_088c0fcba197bc2cfd720be</t>
  </si>
  <si>
    <t>2026-07-16 16:18:55</t>
  </si>
  <si>
    <t>sht_9f09e75b3863c6e5aaa6d71</t>
  </si>
  <si>
    <t>2026-07-17 10:10:11</t>
  </si>
  <si>
    <t>sht_90fcbd2d33004926cf750db</t>
  </si>
  <si>
    <t>2026-07-17 11:14:18</t>
  </si>
  <si>
    <t>sht_4b690da9eefbbf1dd370bb2</t>
  </si>
  <si>
    <t>sht_5f70d8077676ca15a55c8c2</t>
  </si>
  <si>
    <t>sht_234414e63bead7cb044fa33</t>
  </si>
  <si>
    <t>2026-07-17 11:38:45</t>
  </si>
  <si>
    <t>sht_632107255d38f22bfb784ae</t>
  </si>
  <si>
    <t>2026-07-17 12:51:39</t>
  </si>
  <si>
    <t>sht_3a152abba7365634195f8ee</t>
  </si>
  <si>
    <t>2026-07-17 13:04:53</t>
  </si>
  <si>
    <t>sht_6284ee3475630376ac13f28</t>
  </si>
  <si>
    <t>2026-07-17 15:58:03</t>
  </si>
  <si>
    <t>sht_a595382ae82692822de09cf</t>
  </si>
  <si>
    <t>2026-07-17 16:19:32</t>
  </si>
  <si>
    <t>sht_685d32724ef4f3522700d91</t>
  </si>
  <si>
    <t>sht_96f57328a51dcea425dfbc7</t>
  </si>
  <si>
    <t>2026-07-17 16:47:04</t>
  </si>
  <si>
    <t>sht_8d176036127673d99b9cce8</t>
  </si>
  <si>
    <t>2026-07-17 17:08:45</t>
  </si>
  <si>
    <t>sht_733bbdd85791360f234de25</t>
  </si>
  <si>
    <t>2026-07-20 11:30:32</t>
  </si>
  <si>
    <t>sht_62900dfacd6ce9da2ada80f</t>
  </si>
  <si>
    <t>2026-07-20 12:50:40</t>
  </si>
  <si>
    <t>sht_2705702a114d4ff2fe71dff</t>
  </si>
  <si>
    <t>2026-07-20 16:46:10</t>
  </si>
  <si>
    <t>sht_50e943792d6351a03c224f7</t>
  </si>
  <si>
    <t>2026-07-20 17:07:28</t>
  </si>
  <si>
    <t>sht_fe195e25a18e320641166a0</t>
  </si>
  <si>
    <t>sht_e6688f4fc0702ef0f93cdf0</t>
  </si>
  <si>
    <t>2026-07-20 17:07:31</t>
  </si>
  <si>
    <t>sht_464ab8faf7ebf5680579d83</t>
  </si>
  <si>
    <t>sht_8d47b7b0d33d3dda77abe40</t>
  </si>
  <si>
    <t>2026-07-20 17:17:44</t>
  </si>
  <si>
    <t>sht_faa6127d5d46e0309169575</t>
  </si>
  <si>
    <t>2026-07-20 18:18:31</t>
  </si>
  <si>
    <t>sht_2b01219a19de802acdd623a</t>
  </si>
  <si>
    <t>2026-07-20 18:32:55</t>
  </si>
  <si>
    <t>sht_3fea90cd20e8f958cf52f69</t>
  </si>
  <si>
    <t>2026-07-20 18:35:55</t>
  </si>
  <si>
    <t>sht_d475375a708f1a9f15eb28d</t>
  </si>
  <si>
    <t>sht_6401d821d2e1f4803d3a3b2</t>
  </si>
  <si>
    <t>東ﾊﾄ ちょいスナ あみじゃが うましお味</t>
  </si>
  <si>
    <t>2026-07-20 18:38:50</t>
  </si>
  <si>
    <t>sht_ac52a5f67e90dc3f508ca75</t>
  </si>
  <si>
    <t>sht_240e99801365b99b5ed122f</t>
  </si>
  <si>
    <t>2026-07-20 19:34:57</t>
  </si>
  <si>
    <t>sht_8b493b225ada65b5b2b3138</t>
  </si>
  <si>
    <t>ｴｰｽ スティックバウムクーヘン チョコ</t>
  </si>
  <si>
    <t>2026-07-20 19:35:59</t>
  </si>
  <si>
    <t>sht_dade13dcb76c96bdb8199c7</t>
  </si>
  <si>
    <t>ｴｰｽ スティックバウムクーヘン ミルク</t>
  </si>
  <si>
    <t>sht_9eec0345d6e2d49daaa70c1</t>
  </si>
  <si>
    <t>2026-07-21 10:04:30</t>
  </si>
  <si>
    <t>sht_cdc4e4f88e369c2397dcd14</t>
  </si>
  <si>
    <t>2026-07-21 12:41:52</t>
  </si>
  <si>
    <t>sht_a86b77c13befe26afdfe3fa</t>
  </si>
  <si>
    <t>2026-07-21 14:04:09</t>
  </si>
  <si>
    <t>sht_8d7867e5f2e4395ddb4acba</t>
  </si>
  <si>
    <t>2026-07-21 15:07:07</t>
  </si>
  <si>
    <t>sht_3d675ee7470d449825f2ddf</t>
  </si>
  <si>
    <t>2026-07-21 15:43:02</t>
  </si>
  <si>
    <t>sht_81f0ab5d99c72783b2a9ea1</t>
  </si>
  <si>
    <t>ﾌﾞﾙﾎﾞﾝ チョコあ～んぱん 袋</t>
  </si>
  <si>
    <t>2026-07-21 16:20:32</t>
  </si>
  <si>
    <t>sht_7bdcd0cce3b7e2ec14dac3e</t>
  </si>
  <si>
    <t>2026-07-21 16:29:23</t>
  </si>
  <si>
    <t>sht_c743969d10cf1c0b7906f93</t>
  </si>
  <si>
    <t>sht_5a19309cf4fdb3d1eba98fd</t>
  </si>
  <si>
    <t>2026-07-21 16:29:27</t>
  </si>
  <si>
    <t>sht_99d044e37be044ad300ad0d</t>
  </si>
  <si>
    <t>sht_fdd715231d24daa1a7020b8</t>
  </si>
  <si>
    <t>2026-07-21 16:44:26</t>
  </si>
  <si>
    <t>sht_52b142f5096d1cb5faafbaa</t>
  </si>
  <si>
    <t>sht_1b60622fd6943f114459fd4</t>
  </si>
  <si>
    <t>2026-07-21 17:10:02</t>
  </si>
  <si>
    <t>sht_0e79e6fc4f47bf72e9e2fa1</t>
  </si>
  <si>
    <t>2026-07-21 17:29:12</t>
  </si>
  <si>
    <t>sht_c7ad65a7aae1e2eb4dee541</t>
  </si>
  <si>
    <t>sht_fd26691fe1185e1de42d574</t>
  </si>
  <si>
    <t>2026-07-21 17:38:28</t>
  </si>
  <si>
    <t>sht_ddc15c012fb6d38457e83e4</t>
  </si>
  <si>
    <t>sht_1ae98c4e6872d76bad636a2</t>
  </si>
  <si>
    <t>2026-07-21 18:37:13</t>
  </si>
  <si>
    <t>sht_c7827f61ad6ace6e69292d1</t>
  </si>
  <si>
    <t>2026-07-21 20:49:22</t>
  </si>
  <si>
    <t>sht_efb4b09ca61544718529410</t>
  </si>
  <si>
    <t>sht_08e94700f2261aca767b1eb</t>
  </si>
  <si>
    <t>2026-07-22 09:04:55</t>
  </si>
  <si>
    <t>sht_2df0f1f1598b728e5c9d64a</t>
  </si>
  <si>
    <t>sht_b96239a5015b0526f7d17e1</t>
  </si>
  <si>
    <t>2026-07-22 09:45:47</t>
  </si>
  <si>
    <t>sht_5054058a0f0f2f465e1a7c1</t>
  </si>
  <si>
    <t>2026-07-22 09:59:31</t>
  </si>
  <si>
    <t>sht_4d616fa9a6225c672103726</t>
  </si>
  <si>
    <t>2026-07-22 10:01:01</t>
  </si>
  <si>
    <t>sht_4dd552d70a74cc459fbe70c</t>
  </si>
  <si>
    <t>2026-07-22 10:28:30</t>
  </si>
  <si>
    <t>sht_044de2d5c61687abcb79277</t>
  </si>
  <si>
    <t>2026-07-22 10:42:00</t>
  </si>
  <si>
    <t>sht_85096aa579eebb7d364661d</t>
  </si>
  <si>
    <t>東ﾊﾄ ちょいスナ ポテコ うましお味</t>
  </si>
  <si>
    <t>2026-07-22 11:09:46</t>
  </si>
  <si>
    <t>sht_5c6b4306defda6352e83296</t>
  </si>
  <si>
    <t>sht_940c639fde27c3e960bdc5c</t>
  </si>
  <si>
    <t>2026-07-22 11:47:26</t>
  </si>
  <si>
    <t>sht_123cee5805aeb6bc4fa0e9a</t>
  </si>
  <si>
    <t>2026-07-22 12:21:39</t>
  </si>
  <si>
    <t>sht_d9f46ee3fd9e03b631dfa6a</t>
  </si>
  <si>
    <t>2026-07-22 12:23:56</t>
  </si>
  <si>
    <t>sht_3169c9a18a2eebfeb171fee</t>
  </si>
  <si>
    <t>2026-07-22 16:24:48</t>
  </si>
  <si>
    <t>sht_059b6aea4dc5913dd9a42cd</t>
  </si>
  <si>
    <t>2026-07-22 16:25:10</t>
  </si>
  <si>
    <t>sht_86725bfbf0a711c2364390c</t>
  </si>
  <si>
    <t>2026-07-22 16:32:07</t>
  </si>
  <si>
    <t>sht_d01e6e423af36cc66738238</t>
  </si>
  <si>
    <t>2026-07-22 17:17:42</t>
  </si>
  <si>
    <t>sht_9427f1b0e792e664b2cd6fc</t>
  </si>
  <si>
    <t>2026-07-22 17:45:59</t>
  </si>
  <si>
    <t>sht_6e605e550f1d3cf500381ee</t>
  </si>
  <si>
    <t>sht_eec3be0a867b95beee46daa</t>
  </si>
  <si>
    <t>2026-07-22 18:05:17</t>
  </si>
  <si>
    <t>sht_f0f25a78f9b64b10812de45</t>
  </si>
  <si>
    <t>sht_305cdbb886eab6833049505</t>
  </si>
  <si>
    <t>2026-07-22 18:20:32</t>
  </si>
  <si>
    <t>sht_f48d9557c383250697ef0cf</t>
  </si>
  <si>
    <t>2026-07-22 19:18:04</t>
  </si>
  <si>
    <t>sht_6d88b0de49d43e0cb370da8</t>
  </si>
  <si>
    <t>2026-07-22 19:28:09</t>
  </si>
  <si>
    <t>sht_8375767c205243a228e8231</t>
  </si>
  <si>
    <t>2026-07-23 08:11:17</t>
  </si>
  <si>
    <t>sht_cb7448a1fa3e93c48561bb8</t>
  </si>
  <si>
    <t>2026-07-23 10:13:13</t>
  </si>
  <si>
    <t>sht_c8e6a1490fd9266688491d1</t>
  </si>
  <si>
    <t>2026-07-23 14:55:10</t>
  </si>
  <si>
    <t>sht_1758298fda6956dcd97c461</t>
  </si>
  <si>
    <t>2026-07-23 15:05:46</t>
  </si>
  <si>
    <t>sht_8f9279e1c7fa81c4d12c239</t>
  </si>
  <si>
    <t>2026-07-23 15:11:35</t>
  </si>
  <si>
    <t>sht_e5125bfebda2e5acb3dd9b9</t>
  </si>
  <si>
    <t>2026-07-23 16:02:56</t>
  </si>
  <si>
    <t>sht_01f83e76675fd8ba974757c</t>
  </si>
  <si>
    <t>2026-07-23 16:16:48</t>
  </si>
  <si>
    <t>sht_5a6a0ab5d1c722a8fa34007</t>
  </si>
  <si>
    <t>2026-07-23 16:34:58</t>
  </si>
  <si>
    <t>sht_4998d430102dd220d951f8c</t>
  </si>
  <si>
    <t>2026-07-23 16:34:59</t>
  </si>
  <si>
    <t>sht_b7c9392072650f17a5df6db</t>
  </si>
  <si>
    <t>2026-07-23 16:58:56</t>
  </si>
  <si>
    <t>sht_722cba00761e784c087292a</t>
  </si>
  <si>
    <t>2026-07-23 17:00:10</t>
  </si>
  <si>
    <t>sht_fab1e7a4fd188ceba147f8c</t>
  </si>
  <si>
    <t>2026-07-23 17:00:19</t>
  </si>
  <si>
    <t>sht_a2cca400641645a78f2a254</t>
  </si>
  <si>
    <t>2026-07-23 17:01:19</t>
  </si>
  <si>
    <t>sht_c1fca72e14a501abaaa1dbe</t>
  </si>
  <si>
    <t>2026-07-23 17:02:55</t>
  </si>
  <si>
    <t>sht_76f3a1cc4c49bc521336965</t>
  </si>
  <si>
    <t>2026-07-23 17:03:54</t>
  </si>
  <si>
    <t>sht_eee7f82c9ad5f696ce59b67</t>
  </si>
  <si>
    <t>sht_9c693f1b55586ac0212445f</t>
  </si>
  <si>
    <t>2026-07-23 17:04:03</t>
  </si>
  <si>
    <t>sht_9353d0ab0a5b7052a1a48e1</t>
  </si>
  <si>
    <t>2026-07-24 10:15:24</t>
  </si>
  <si>
    <t>sht_40a7f996b5e73fa22fddf8f</t>
  </si>
  <si>
    <t>2026-07-24 10:50:28</t>
  </si>
  <si>
    <t>sht_614d1548b1956bff82b2aee</t>
  </si>
  <si>
    <t>2026-07-24 11:24:56</t>
  </si>
  <si>
    <t>sht_4181480aade5629eb33e235</t>
  </si>
  <si>
    <t>sht_1168583fcd156efc298d440</t>
  </si>
  <si>
    <t>2026-07-24 13:56:27</t>
  </si>
  <si>
    <t>sht_7619a22816b48d2317c87b3</t>
  </si>
  <si>
    <t>2026-07-24 15:21:04</t>
  </si>
  <si>
    <t>sht_d2078864dc57f60576f6523</t>
  </si>
  <si>
    <t>2026-07-24 15:26:45</t>
  </si>
  <si>
    <t>sht_aeee44987f5bda7a7489613</t>
  </si>
  <si>
    <t>2026-07-24 15:44:49</t>
  </si>
  <si>
    <t>sht_e71d2564305f40346648794</t>
  </si>
  <si>
    <t>2026-07-24 15:44:52</t>
  </si>
  <si>
    <t>sht_6d81af925e1e1d0a33c2545</t>
  </si>
  <si>
    <t>2026-07-24 17:05:23</t>
  </si>
  <si>
    <t>sht_d7050add4e8ddee839ef1f6</t>
  </si>
  <si>
    <t>sht_aa82575449264f1ed6a5d1b</t>
  </si>
  <si>
    <t>2026-07-24 17:14:15</t>
  </si>
  <si>
    <t>sht_b418731ba3d450725e1e4c7</t>
  </si>
  <si>
    <t>日清 カップヌードル シーフードヌードル</t>
  </si>
  <si>
    <t>2026-07-25 10:29:19</t>
  </si>
  <si>
    <t>売上</t>
    <rPh sb="0" eb="2">
      <t>ウリアゲ</t>
    </rPh>
    <phoneticPr fontId="2"/>
  </si>
  <si>
    <t>商品ID</t>
  </si>
  <si>
    <t>商品名（日本語）</t>
  </si>
  <si>
    <t>売上高（円）</t>
  </si>
  <si>
    <t>注文件数</t>
  </si>
  <si>
    <t>prd_a8180814f3865cf1f9a7f98</t>
  </si>
  <si>
    <t>prd_cd9e489e849e4ed1fd7119a</t>
  </si>
  <si>
    <t>prd_b344af8584d2c30607e9fc2</t>
  </si>
  <si>
    <t>prd_003f6f50b1e8f2b811891ed</t>
  </si>
  <si>
    <t>prd_0d994022e081d957374deaf</t>
  </si>
  <si>
    <t>prd_6a3476f00df34b599c1abae</t>
  </si>
  <si>
    <t>prd_cc082cea655928428dcf0ac</t>
  </si>
  <si>
    <t>prd_d411e79c7caf37353332798</t>
  </si>
  <si>
    <t>prd_ae57ae56cd53cb267644515</t>
  </si>
  <si>
    <t>prd_5e4dff29d55615d566a7630</t>
  </si>
  <si>
    <t>prd_2b44e78a137a23e919533bb</t>
  </si>
  <si>
    <t>prd_28ee47d372c9ff5a585d03f</t>
  </si>
  <si>
    <t>単価</t>
    <rPh sb="0" eb="2">
      <t>タンカ</t>
    </rPh>
    <phoneticPr fontId="2"/>
  </si>
  <si>
    <t>prd_7df1d13b4ad565f01252c26</t>
  </si>
  <si>
    <t>prd_af4d365101f2a6f56eba530</t>
  </si>
  <si>
    <t>prd_f1a1bed6c9d726afb82f419</t>
  </si>
  <si>
    <t>prd_224d62dcfa95a3c29c7b16a</t>
  </si>
  <si>
    <t>prd_d2a1f5d0af56730ad4b994e</t>
  </si>
  <si>
    <t>prd_534ba7cc0cdb560e15af032</t>
  </si>
  <si>
    <t>prd_0a097799db074cae8715ed4</t>
  </si>
  <si>
    <t>重複チェック</t>
    <rPh sb="0" eb="2">
      <t>チョウフク</t>
    </rPh>
    <phoneticPr fontId="2"/>
  </si>
  <si>
    <t>商品コード</t>
  </si>
  <si>
    <t>在庫操作タイプ</t>
  </si>
  <si>
    <t>在庫変更数</t>
  </si>
  <si>
    <t>操作後在庫</t>
  </si>
  <si>
    <t>理論賞味期限</t>
  </si>
  <si>
    <t>注文</t>
  </si>
  <si>
    <t>sht_4285979475631f7eeda9dce</t>
  </si>
  <si>
    <t>set_benchmark</t>
  </si>
  <si>
    <t>sht_bda79853d37d12e60a35a45</t>
  </si>
  <si>
    <t>sht_e38b051aa51e05f830fe599</t>
  </si>
  <si>
    <t>sht_f4fe7bbe5467dbfeb24aefe</t>
  </si>
  <si>
    <t>sht_1d8b4dafca7e01996b248fa</t>
  </si>
  <si>
    <t>sht_e6037e1a9bb7ff4a6d5d170</t>
  </si>
  <si>
    <t>sht_f918fa3f2b697276a2e6368</t>
  </si>
  <si>
    <t>prd_30ba27dac123e5b25c300dc</t>
  </si>
  <si>
    <t>東ﾊﾄ ちょいスナ ビーノ うましお味</t>
  </si>
  <si>
    <t>sht_b2a516ca3eb763dfbe7aef4</t>
  </si>
  <si>
    <t>sht_2bde6c0dc9026d99f0b4b72</t>
  </si>
  <si>
    <t>入庫</t>
  </si>
  <si>
    <t>sht_574f042c6a780bb713a4231</t>
  </si>
  <si>
    <t>sht_23de58fbc7b5b431739cd00</t>
  </si>
  <si>
    <t>sht_d54578f56cbf17590c6aee0</t>
  </si>
  <si>
    <t>sht_2a62198c78e43bf257c0213</t>
  </si>
  <si>
    <t>sht_7a9f910a2d04440271ac720</t>
  </si>
  <si>
    <t>prd_f27d27f4efeda6ba2dd08fc</t>
  </si>
  <si>
    <t>sht_f6d420f0f7b033df386e0a6</t>
  </si>
  <si>
    <t>sht_1774afd59fd3c3684536aaa</t>
  </si>
  <si>
    <t>prd_be5c558e8f29e5b52b436b9</t>
  </si>
  <si>
    <t>sht_8de837be280b1b888772c1e</t>
  </si>
  <si>
    <t>prd_ccac74216cf948b6a5fa8dd</t>
  </si>
  <si>
    <t>大塚 ソイジョイ 黒ゴマ</t>
  </si>
  <si>
    <t>sht_3b3a5c425e6d60f1647b4b5</t>
  </si>
  <si>
    <t>prd_f732f989e90766ba295796f</t>
  </si>
  <si>
    <t>ｴｰｽｺｯｸ スープはるさめ 担担味</t>
  </si>
  <si>
    <t>sht_e6812a93e0b4a3285a9650b</t>
  </si>
  <si>
    <t>sht_af4b40a4ad56cfdac00e6c7</t>
  </si>
  <si>
    <t>prd_7660bca6092cb0973f38db8</t>
  </si>
  <si>
    <t>大塚 ソイジョイ ストロベリー</t>
  </si>
  <si>
    <t>sht_bd14b0ef6c971c600a63441</t>
  </si>
  <si>
    <t>sht_1ac81d714ca24aea86e3328</t>
  </si>
  <si>
    <t>sht_0415c33d3a9c524be1b9f5b</t>
  </si>
  <si>
    <t>sht_39fcb78c569fc0610f06308</t>
  </si>
  <si>
    <t>sht_895e10bfc9d534ba7ab00ba</t>
  </si>
  <si>
    <t>sht_55966b3d7972e449b71496f</t>
  </si>
  <si>
    <t>sht_db602e620200575cdb72f7b</t>
  </si>
  <si>
    <t>sht_a4a0fcee38f66631371f867</t>
  </si>
  <si>
    <t>sht_d71edad59401209cbf03643</t>
  </si>
  <si>
    <t>sht_763e8a5b6ea29d142b5bff3</t>
  </si>
  <si>
    <t>sht_fc1a1a91382b7d266b055db</t>
  </si>
  <si>
    <t>sht_26ee61b1fbbdba9f95b22a8</t>
  </si>
  <si>
    <t>sht_984fbdd40b2c95f80d436dc</t>
  </si>
  <si>
    <t>sht_5a9c27ed0cea11fc3986775</t>
  </si>
  <si>
    <t>sht_5e1bd5d30e3b76eb504892f</t>
  </si>
  <si>
    <t>sht_f29c224071531b37e491369</t>
  </si>
  <si>
    <t>sht_12d4bc367fba53df84ae470</t>
  </si>
  <si>
    <t>sht_ad8cde5e82faf0594885bdb</t>
  </si>
  <si>
    <t>sht_6c555f2dfab7742a671d91e</t>
  </si>
  <si>
    <t>sht_b006119fecca4df46a1c33b</t>
  </si>
  <si>
    <t>sht_234f45c11014ca2fdf3310f</t>
  </si>
  <si>
    <t>sht_236b3b233400bbe299bc6b4</t>
  </si>
  <si>
    <t>sht_16f2a8f4a2554d5d4e5dd47</t>
  </si>
  <si>
    <t>sht_07d0856e38954a24dbd39b4</t>
  </si>
  <si>
    <t>sht_1a9dedc22474ae9cd833aee</t>
  </si>
  <si>
    <t>sht_7cd5a8e6524635fdd6299f2</t>
  </si>
  <si>
    <t>sht_ae06536c43d3df951111c10</t>
  </si>
  <si>
    <t>sht_f019750d76233de6727bd45</t>
  </si>
  <si>
    <t>sht_c083b3c0319959b20436a03</t>
  </si>
  <si>
    <t>sht_959597210bd9475e6a40827</t>
  </si>
  <si>
    <t>sht_86b9f728b607413d2036c17</t>
  </si>
  <si>
    <t>sht_049f43eb16d770165ff7b94</t>
  </si>
  <si>
    <t>sht_6fa65ee170bd7a41553f5ae</t>
  </si>
  <si>
    <t>sht_90542050c97b1e77bf840bf</t>
  </si>
  <si>
    <t>sht_2c962c6110ff806448c74f9</t>
  </si>
  <si>
    <t>prd_a775356b14b39e88353a4b5</t>
  </si>
  <si>
    <t>天乃屋 ぷち歌舞伎揚 23g</t>
  </si>
  <si>
    <t>商品販売中止</t>
  </si>
  <si>
    <t>sht_b3c7de71bfddda13f557383</t>
  </si>
  <si>
    <t>棚卸し</t>
  </si>
  <si>
    <t>sht_0a33860ac863242d2e706c3</t>
  </si>
  <si>
    <t>sht_11b18c3184cb4169368d40e</t>
  </si>
  <si>
    <t>sht_bf71b52b03090520678d206</t>
  </si>
  <si>
    <t>sht_0dd1bba8c34d6e3f6a8ee85</t>
  </si>
  <si>
    <t>sht_d5765698906a85f0a6abc56</t>
  </si>
  <si>
    <t>sht_875d2182a5055bba30e5bf3</t>
  </si>
  <si>
    <t>sht_2640aba17bf8189af2acdd6</t>
  </si>
  <si>
    <t>sht_d7c030549eb852462d3e123</t>
  </si>
  <si>
    <t>sht_a88943aa837605a6a934365</t>
  </si>
  <si>
    <t>sht_d0b0c3c4c6cc2eb39a20692</t>
  </si>
  <si>
    <t>sht_c0e031be6443e9dcd101252</t>
  </si>
  <si>
    <t>sht_ef7b0ff4fa53c821b00078a</t>
  </si>
  <si>
    <t>sht_12bd78369c493a5498a3681</t>
  </si>
  <si>
    <t>sht_cf75335f3107938bce50d29</t>
  </si>
  <si>
    <t>sht_2f7caf8cfe4ce975e10838d</t>
  </si>
  <si>
    <t>sht_ad954b1ded943a4d3f9b2ff</t>
  </si>
  <si>
    <t>sht_b06166c1c42e6f92695b313</t>
  </si>
  <si>
    <t>出庫</t>
  </si>
  <si>
    <t>sht_bdf4655c53d5e2185c503fa</t>
  </si>
  <si>
    <t>sht_6a93965078b5ae8fc042c96</t>
  </si>
  <si>
    <t>sht_834304b9e455384632587b7</t>
  </si>
  <si>
    <t>計</t>
    <rPh sb="0" eb="1">
      <t>ケイ</t>
    </rPh>
    <phoneticPr fontId="2"/>
  </si>
  <si>
    <t>sht_87e892254163815fcc73f12</t>
  </si>
  <si>
    <t>sht_f9973ad7342a1d90630dd86</t>
  </si>
  <si>
    <t>sht_bb187d87ec78300cf3bc9ac</t>
  </si>
  <si>
    <t>sht_f19d08db602918b794ac495</t>
  </si>
  <si>
    <t>sht_3e17ba98b796df6a081efc4</t>
  </si>
  <si>
    <t>sht_dead774874508a80f7e43cf</t>
  </si>
  <si>
    <t>sht_187334bde4f8dd59ead3db1</t>
  </si>
  <si>
    <t>sht_9d13b5f8ac44d70695257e2</t>
  </si>
  <si>
    <t>sht_50960cfd8a84efd7755a0a7</t>
  </si>
  <si>
    <t>sht_ee6a7777e7eadf3f0a97119</t>
  </si>
  <si>
    <t>sht_2b9697a661bf9fb2d5c1d10</t>
  </si>
  <si>
    <t>sht_67c98681ce56b5a825f81af</t>
  </si>
  <si>
    <t>sht_3329277fd916fc66c6d444e</t>
  </si>
  <si>
    <t>sht_ad9bd38cd3f31f23091e4fd</t>
  </si>
  <si>
    <t>sht_6b596010fb5f907c0c8c277</t>
  </si>
  <si>
    <t>sht_cacf3133b2532f55f137366</t>
  </si>
  <si>
    <t>sht_54ccaec500a13d661f938e7</t>
  </si>
  <si>
    <t>sht_d95f8796c6dce3586b0c6a9</t>
  </si>
  <si>
    <t>sht_ad59976a26e23b5bdbff370</t>
  </si>
  <si>
    <t>sht_00c820bc4546b628ff05646</t>
  </si>
  <si>
    <t>sht_8629c268bfaa40d930f6f25</t>
  </si>
  <si>
    <t>sht_88aadb771009b1d5e255c31</t>
  </si>
  <si>
    <t>sht_798b4fe47642e050cdbda33</t>
  </si>
  <si>
    <t>sht_1369017f598b87f92cee611</t>
  </si>
  <si>
    <t>sht_abce5dde9c2cd67cfb498a6</t>
  </si>
  <si>
    <t>sht_0ae1b58f96243c4313700dd</t>
  </si>
  <si>
    <t>sht_b4a25b656f642983c995fd0</t>
  </si>
  <si>
    <t>sht_23f6af0688ce9852dcb0e0b</t>
  </si>
  <si>
    <t>sht_19d47e621e6e1d838c35096</t>
  </si>
  <si>
    <t>sht_aa98f7936eb6bbb13eb9d50</t>
  </si>
  <si>
    <t>sht_a6a5cb9fc344d10d2adadae</t>
  </si>
  <si>
    <t>sht_37cb56baeebdf8fdb3d0a66</t>
  </si>
  <si>
    <t>sht_34242b688127b946d0badc4</t>
  </si>
  <si>
    <t>sht_aad4f3aadad2a1452b77358</t>
  </si>
  <si>
    <t>sht_e1b152fce339d67b4ca551b</t>
  </si>
  <si>
    <t>sht_b69025e95d263ec5a4fa9be</t>
  </si>
  <si>
    <t>sht_11340907d6a1f9856626206</t>
  </si>
  <si>
    <t>sht_2dc6c37b44d5ffc9934de39</t>
  </si>
  <si>
    <t>sht_aa1550eefaf28a68e3c6c75</t>
  </si>
  <si>
    <t>sht_167003c057dffe3219c4e00</t>
  </si>
  <si>
    <t>sht_0240458cd011c026f378202</t>
  </si>
  <si>
    <t>sht_64ca55c4b30b032b3bfb394</t>
  </si>
  <si>
    <t>sht_e1a894c34cab4b865a3e675</t>
  </si>
  <si>
    <t>sht_2823cc381271498ca288f87</t>
  </si>
  <si>
    <t>sht_090e2929f80ed71f2efcca1</t>
  </si>
  <si>
    <t>sht_a07a55c55067ef1e3b6181e</t>
  </si>
  <si>
    <t>sht_0a85e014216a8fd95b70165</t>
  </si>
  <si>
    <t>sht_7c9b8de6030109701686ca9</t>
  </si>
  <si>
    <t>sht_ec08cda388b15d9602e3579</t>
  </si>
  <si>
    <t>sht_d3fcd074277ec29ff351c4c</t>
  </si>
  <si>
    <t>sht_77790e05d652afa19e44f8d</t>
  </si>
  <si>
    <t>sht_88a07a82f5855d35e2ffde4</t>
  </si>
  <si>
    <t>sht_6d65548be1807707ed301df</t>
  </si>
  <si>
    <t>sht_b2266f7eec48bcf40113a72</t>
  </si>
  <si>
    <t>sht_6dcfa21022d5a2bd18512c4</t>
  </si>
  <si>
    <t>sht_7df5522b06ceaa0ce5633cc</t>
  </si>
  <si>
    <t>sht_e639f0129726313873239bc</t>
  </si>
  <si>
    <t>sht_6ad6ddd410d3d9648c03a25</t>
  </si>
  <si>
    <t>sht_2fdd19eafb8600795061b52</t>
  </si>
  <si>
    <t>sht_197de5e50e42838fc1fef56</t>
  </si>
  <si>
    <t>sht_bd984931305e44a26709fb1</t>
  </si>
  <si>
    <t>sht_3237a1299cc6c2ec8c72bbe</t>
  </si>
  <si>
    <t>sht_6dbfe89304ddb34a2ba97a3</t>
  </si>
  <si>
    <t>sht_38afd721937d3a4c6e9ebc6</t>
  </si>
  <si>
    <t>sht_c3164ef219a05330be63ad6</t>
  </si>
  <si>
    <t>sht_7ce81817389c47943abeeba</t>
  </si>
  <si>
    <t>sht_6bade9734a4da9744b58741</t>
  </si>
  <si>
    <t>sht_d63babe30bc205f9b4dfadc</t>
  </si>
  <si>
    <t>sht_60f788a9b362073987416a0</t>
  </si>
  <si>
    <t>sht_6a25938bfb57d64143a79cb</t>
  </si>
  <si>
    <t>sht_7f13d682b526c18bb45a5d4</t>
  </si>
  <si>
    <t>sht_822d5ff779784ad5512c6eb</t>
  </si>
  <si>
    <t>sht_bb7c11427cf79bf4ae97209</t>
  </si>
  <si>
    <t>sht_e1638c5aedcd0810369345c</t>
  </si>
  <si>
    <t>sht_a313c37f72b3b7a25092e53</t>
  </si>
  <si>
    <t>sht_03b51fa917555a578337950</t>
  </si>
  <si>
    <t>sht_6cda09aca1caba3fb0bf8d0</t>
  </si>
  <si>
    <t>sht_e36a6d44a8548f0cbbdf84b</t>
  </si>
  <si>
    <t>sht_27dfcfb6c272fa62e8c5214</t>
  </si>
  <si>
    <t>sht_0cd12f7f5d8441a91c2356c</t>
  </si>
  <si>
    <t>sht_846ec95801a561fa645717b</t>
  </si>
  <si>
    <t>sht_ffa04f92e194e326b607ff0</t>
  </si>
  <si>
    <t>sht_7a60a695dfad9438d436fbb</t>
  </si>
  <si>
    <t>sht_a900ec9173e36d75cfbe535</t>
  </si>
  <si>
    <t>sht_9f17afe962f34458baaf5a4</t>
  </si>
  <si>
    <t>sht_aec07d1a7f9adb2ecaa151c</t>
  </si>
  <si>
    <t>sht_4abf52b6605ff8d9c1d42e5</t>
  </si>
  <si>
    <t>sht_ec8dac6440798581a5e79a8</t>
  </si>
  <si>
    <t>sht_3322cde11231ee9f0837f5d</t>
  </si>
  <si>
    <t>sht_01d62f0949c9a2df32a8ed1</t>
  </si>
  <si>
    <t>sht_585903a6f3d59bbb9832772</t>
  </si>
  <si>
    <t>sht_df642a6ccdc743610b351e8</t>
  </si>
  <si>
    <t>sht_37a805e4b88d2eb19277223</t>
  </si>
  <si>
    <t>sht_ca17d80c6802a35f83ff430</t>
  </si>
  <si>
    <t>sht_83be5f0412d92b5a61f9dbd</t>
  </si>
  <si>
    <t>sht_cf5f820dfd5d00563db14d0</t>
  </si>
  <si>
    <t>sht_aceb58b8d7ae37d289b0a7b</t>
  </si>
  <si>
    <t>sht_ee0be0bd8fb767e386a3eb0</t>
  </si>
  <si>
    <t>sht_8ac40d2b5c48766b1668240</t>
  </si>
  <si>
    <t>sht_9c09cef3f796d32ae337559</t>
  </si>
  <si>
    <t>sht_2d5902141155f75f6897403</t>
  </si>
  <si>
    <t>sht_1f402f7b06b369d25be5d57</t>
  </si>
  <si>
    <t>sht_13e0fb117b3fb997321161b</t>
  </si>
  <si>
    <t>sht_b3374746c9ad0698a579ec3</t>
  </si>
  <si>
    <t>sht_539761cb4957ca08dc35d0b</t>
  </si>
  <si>
    <t>sht_d2db6c4bd9f387f1dc74b72</t>
  </si>
  <si>
    <t>sht_c82266a6c383b9f041515f1</t>
  </si>
  <si>
    <t>sht_d8405eb8becffa60bc60339</t>
  </si>
  <si>
    <t>sht_6a6c0a8de31d8ecb4418dfb</t>
  </si>
  <si>
    <t>sht_c769dc881ef9bca2175e75b</t>
  </si>
  <si>
    <t>sht_ecb8d7264fcc12fddca52a5</t>
  </si>
  <si>
    <t>sht_b396b83adc86042046313bd</t>
  </si>
  <si>
    <t>sht_0a8517732d6c79df481656b</t>
  </si>
  <si>
    <t>sht_3dc82babe2a435e31a8bba8</t>
  </si>
  <si>
    <t>sht_d5c8be979648779e6b54565</t>
  </si>
  <si>
    <t>sht_2f8ab0dcf03cee0cdb13e16</t>
  </si>
  <si>
    <t>sht_18ace7e7d63828625d0ef48</t>
  </si>
  <si>
    <t>sht_db7f12136c9f0eb23511687</t>
  </si>
  <si>
    <t>sht_2414e53fca264490f0a7dd6</t>
  </si>
  <si>
    <t>sht_7b97eea9990e1c3d954ed5e</t>
  </si>
  <si>
    <t>sht_ef887ca33e27b0acd0c773a</t>
  </si>
  <si>
    <t>sht_99270c2a9262bf584c36a77</t>
  </si>
  <si>
    <t>sht_3828026314f922ed7ec389b</t>
  </si>
  <si>
    <t>sht_4c366d896e64fadf2f7110b</t>
  </si>
  <si>
    <t>sht_a40251ce9ac095715b14d3e</t>
  </si>
  <si>
    <t>sht_18e23d26ae2feb50f2fb443</t>
  </si>
  <si>
    <t>sht_0d7b0f58fd1c3f89e012af6</t>
  </si>
  <si>
    <t>sht_be2754f3685303402ea0057</t>
  </si>
  <si>
    <t>sht_25326f93e5d9f94fd5919d3</t>
  </si>
  <si>
    <t>sht_a30474ca7cf5f12f0aaee89</t>
  </si>
  <si>
    <t>sht_70842776c91914407bb58b4</t>
  </si>
  <si>
    <t>sht_321aaf8cdcddd23acda869a</t>
  </si>
  <si>
    <t>sht_bc69eb3800f55606ecf8f75</t>
  </si>
  <si>
    <t>sht_79b333d25a9f9361783fc77</t>
  </si>
  <si>
    <t>sht_91773d762435cdfebcf80b9</t>
  </si>
  <si>
    <t>sht_9bb1f2b648037119b1ff845</t>
  </si>
  <si>
    <t>sht_c144cd7a271c066b1ec3dd4</t>
  </si>
  <si>
    <t>sht_20bd6b397f685a70a573e8a</t>
  </si>
  <si>
    <t>sht_5f5380afcac979232cfe4ce</t>
  </si>
  <si>
    <t>sht_56c6f2ec2d2b2e013fbe23a</t>
  </si>
  <si>
    <t>sht_dfb46f3608a93186709b0f3</t>
  </si>
  <si>
    <t>sht_7aaeda4137d654806519a16</t>
  </si>
  <si>
    <t>sht_af5fb60217892e12c8816c8</t>
  </si>
  <si>
    <t>sht_bf4a207ea93782adb0a7d49</t>
  </si>
  <si>
    <t>sht_c93364c774ee9e0945c94c1</t>
  </si>
  <si>
    <t>sht_f025cb39cd6492b27b3be11</t>
  </si>
  <si>
    <t>sht_1b991871f0851bd82349c85</t>
  </si>
  <si>
    <t>sht_8b3a110ff5762fcc9dffd7a</t>
  </si>
  <si>
    <t>sht_cc51fd57e7175788c3b207e</t>
  </si>
  <si>
    <t>数</t>
    <rPh sb="0" eb="1">
      <t>カズ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</si>
</sst>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#,##0_);[Red]\(#,##0\)"/>
  </numFmts>
  <fonts count="4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0" xfId="0" applyFont="1"/>
    <xf numFmtId="14" fontId="3" fillId="0" borderId="0" xfId="0" applyNumberFormat="1" applyFont="1"/>
    <xf numFmtId="0" fontId="1" fillId="0" borderId="1" xfId="0" applyFont="1" applyBorder="1" applyAlignment="1">
      <alignment horizontal="center" vertical="top"/>
    </xf>
    <xf numFmtId="180" fontId="1" fillId="0" borderId="1" xfId="0" applyNumberFormat="1" applyFont="1" applyBorder="1" applyAlignment="1">
      <alignment horizontal="center" vertical="top"/>
    </xf>
    <xf numFmtId="180" fontId="0" fillId="0" borderId="0" xfId="0" applyNumberFormat="1"/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  <xf numFmtId="22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標準" xfId="0" builtinId="0"/>
  </cellStyles>
  <dxfs count="26"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27" formatCode="yyyy/m/d\ hh:mm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80" formatCode="#,##0_);[Red]\(#,##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3"/>
        <charset val="128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C1BFB4-26CF-46AD-973F-2A8187E428D6}" name="matome" displayName="matome" ref="A1:F216" totalsRowShown="0" headerRowDxfId="23" headerRowBorderDxfId="24" tableBorderDxfId="25">
  <autoFilter ref="A1:F216" xr:uid="{5AC1BFB4-26CF-46AD-973F-2A8187E428D6}"/>
  <tableColumns count="6">
    <tableColumn id="1" xr3:uid="{ED6EE8AB-3B26-41D0-836E-678A61F00367}" name="操作ID"/>
    <tableColumn id="2" xr3:uid="{971ECEDE-48AB-487A-AA8E-F58E215383C7}" name="商品名"/>
    <tableColumn id="3" xr3:uid="{55C9B9E3-FD9E-4835-BDCA-15C9282A0268}" name="売上数"/>
    <tableColumn id="4" xr3:uid="{936707A8-D65A-4222-BA9A-702C60C69692}" name="単価"/>
    <tableColumn id="5" xr3:uid="{219ADC4F-CC1B-4C55-8FC7-DE9D1BB4A8E0}" name="日時"/>
    <tableColumn id="6" xr3:uid="{5D485D02-B365-4698-934A-A136CEAC5267}" name="売上" dataDxfId="22">
      <calculatedColumnFormula>matome[[#This Row],[売上数]]*matome[[#This Row],[単価]]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1ED433-7D22-4625-BDC6-1EDC781F0E81}" name="history" displayName="history" ref="A1:J441" totalsRowShown="0" headerRowDxfId="2" dataDxfId="3">
  <autoFilter ref="A1:J441" xr:uid="{841ED433-7D22-4625-BDC6-1EDC781F0E81}"/>
  <sortState xmlns:xlrd2="http://schemas.microsoft.com/office/spreadsheetml/2017/richdata2" ref="A2:J441">
    <sortCondition ref="I1:I441"/>
  </sortState>
  <tableColumns count="10">
    <tableColumn id="1" xr3:uid="{3FC04B92-860E-4193-AC1A-E7FF93146036}" name="操作ID" dataDxfId="12"/>
    <tableColumn id="2" xr3:uid="{44A820E4-53A3-4C83-828E-71C28FE0132A}" name="商品ID" dataDxfId="11"/>
    <tableColumn id="3" xr3:uid="{75301754-CFD6-468B-9C3B-B95BFA9EBE78}" name="商品名" dataDxfId="10"/>
    <tableColumn id="4" xr3:uid="{C336B809-EC9E-49BD-9A42-5F9F26883447}" name="商品コード" dataDxfId="9"/>
    <tableColumn id="5" xr3:uid="{AB4587BA-1B6D-4C0C-BE55-952170C139DE}" name="在庫操作タイプ" dataDxfId="8"/>
    <tableColumn id="6" xr3:uid="{E82D1386-8243-464D-8B1F-9541595801D2}" name="在庫変更数" dataDxfId="7"/>
    <tableColumn id="7" xr3:uid="{BC2C2DA7-C70B-4BCF-AE6D-1019D3BAF87D}" name="操作後在庫" dataDxfId="6"/>
    <tableColumn id="8" xr3:uid="{8F1062BD-8EFF-4330-9FED-43F39528C1C5}" name="理論賞味期限" dataDxfId="5"/>
    <tableColumn id="9" xr3:uid="{2F11DFB0-CC73-496F-A7A9-E75C2E05C1F2}" name="日時" dataDxfId="4"/>
    <tableColumn id="10" xr3:uid="{92874EF9-A48B-468D-950E-4AF6A9D42659}" name="単価" dataDxfId="1">
      <calculatedColumnFormula>IF(history[[#This Row],[在庫操作タイプ]]="注文",_xlfn.XLOOKUP(history[[#This Row],[商品ID]],stats[商品ID],stats[単価],"？"),"")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5EE213-CEFF-4CB5-A9C6-CC38AD0FFE52}" name="stats" displayName="stats" ref="A1:H22" totalsRowShown="0" headerRowDxfId="15" dataDxfId="16">
  <autoFilter ref="A1:H22" xr:uid="{F85EE213-CEFF-4CB5-A9C6-CC38AD0FFE52}"/>
  <sortState xmlns:xlrd2="http://schemas.microsoft.com/office/spreadsheetml/2017/richdata2" ref="A2:G20">
    <sortCondition ref="A1:A20"/>
  </sortState>
  <tableColumns count="8">
    <tableColumn id="1" xr3:uid="{5355C0D8-61CE-4728-89BA-6594D8868D04}" name="商品ID" dataDxfId="21"/>
    <tableColumn id="2" xr3:uid="{36BB52AB-C515-4AFE-B6AD-07972BDAC5BE}" name="商品名（日本語）" dataDxfId="20"/>
    <tableColumn id="3" xr3:uid="{79BBAAD1-AF72-4C7C-BF86-3C614F87DFEE}" name="売上高（円）" dataDxfId="19"/>
    <tableColumn id="4" xr3:uid="{024E48DF-5D47-4A84-8C16-C768C1C55F92}" name="売上数" dataDxfId="18"/>
    <tableColumn id="5" xr3:uid="{6A43CAAC-43AE-428F-B7DA-AC3C5B590BB8}" name="注文件数" dataDxfId="17"/>
    <tableColumn id="6" xr3:uid="{69028211-34DF-493D-B1B2-B84A130C8A24}" name="単価" dataDxfId="14">
      <calculatedColumnFormula>stats[[#This Row],[売上高（円）]]/stats[[#This Row],[売上数]]</calculatedColumnFormula>
    </tableColumn>
    <tableColumn id="7" xr3:uid="{E02D000E-5E71-4F2A-9E15-AD509BEAE13C}" name="重複チェック" dataDxfId="13">
      <calculatedColumnFormula>COUNTIF(stats[商品ID],stats[[#This Row],[商品ID]])</calculatedColumnFormula>
    </tableColumn>
    <tableColumn id="8" xr3:uid="{335188F7-EE67-4BB8-B904-FF4D16C4D951}" name="数" dataDxfId="0">
      <calculatedColumnFormula>-SUMIFS(history[在庫変更数],history[在庫操作タイプ],"注文",history[商品ID],stats[[#This Row],[商品ID]])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6"/>
  <sheetViews>
    <sheetView workbookViewId="0">
      <selection activeCell="B23" sqref="B23"/>
    </sheetView>
  </sheetViews>
  <sheetFormatPr defaultRowHeight="13.2"/>
  <cols>
    <col min="1" max="1" width="9.109375" customWidth="1"/>
    <col min="2" max="2" width="38.109375" bestFit="1" customWidth="1"/>
    <col min="3" max="3" width="9.21875" customWidth="1"/>
    <col min="5" max="5" width="19.88671875" bestFit="1" customWidth="1"/>
    <col min="6" max="6" width="10.5546875" style="5" bestFit="1" customWidth="1"/>
    <col min="13" max="13" width="11.6640625" bestFit="1" customWidth="1"/>
  </cols>
  <sheetData>
    <row r="1" spans="1:1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417</v>
      </c>
    </row>
    <row r="2" spans="1:14">
      <c r="A2" t="s">
        <v>5</v>
      </c>
      <c r="B2" t="s">
        <v>6</v>
      </c>
      <c r="C2">
        <v>1</v>
      </c>
      <c r="D2">
        <v>51</v>
      </c>
      <c r="E2" t="s">
        <v>7</v>
      </c>
      <c r="F2" s="5">
        <f>matome[[#This Row],[売上数]]*matome[[#This Row],[単価]]</f>
        <v>51</v>
      </c>
      <c r="M2" s="2">
        <v>46209</v>
      </c>
      <c r="N2">
        <f>WEEKDAY(M2,11)</f>
        <v>1</v>
      </c>
    </row>
    <row r="3" spans="1:14">
      <c r="A3" t="s">
        <v>8</v>
      </c>
      <c r="B3" t="s">
        <v>6</v>
      </c>
      <c r="C3">
        <v>1</v>
      </c>
      <c r="D3">
        <v>51</v>
      </c>
      <c r="E3" t="s">
        <v>9</v>
      </c>
      <c r="F3" s="5">
        <f>matome[[#This Row],[売上数]]*matome[[#This Row],[単価]]</f>
        <v>51</v>
      </c>
      <c r="M3" s="2">
        <v>46210</v>
      </c>
      <c r="N3">
        <f t="shared" ref="N3:N17" si="0">WEEKDAY(M3,11)</f>
        <v>2</v>
      </c>
    </row>
    <row r="4" spans="1:14">
      <c r="A4" t="s">
        <v>10</v>
      </c>
      <c r="B4" t="s">
        <v>11</v>
      </c>
      <c r="C4">
        <v>1</v>
      </c>
      <c r="D4">
        <v>41</v>
      </c>
      <c r="E4" t="s">
        <v>9</v>
      </c>
      <c r="F4" s="5">
        <f>matome[[#This Row],[売上数]]*matome[[#This Row],[単価]]</f>
        <v>41</v>
      </c>
      <c r="M4" s="2">
        <v>46211</v>
      </c>
      <c r="N4">
        <f t="shared" si="0"/>
        <v>3</v>
      </c>
    </row>
    <row r="5" spans="1:14">
      <c r="A5" t="s">
        <v>12</v>
      </c>
      <c r="B5" t="s">
        <v>13</v>
      </c>
      <c r="C5">
        <v>1</v>
      </c>
      <c r="D5">
        <v>82</v>
      </c>
      <c r="E5" t="s">
        <v>9</v>
      </c>
      <c r="F5" s="5">
        <f>matome[[#This Row],[売上数]]*matome[[#This Row],[単価]]</f>
        <v>82</v>
      </c>
      <c r="M5" s="2">
        <v>46212</v>
      </c>
      <c r="N5">
        <f t="shared" si="0"/>
        <v>4</v>
      </c>
    </row>
    <row r="6" spans="1:14">
      <c r="A6" t="s">
        <v>14</v>
      </c>
      <c r="B6" t="s">
        <v>15</v>
      </c>
      <c r="C6">
        <v>1</v>
      </c>
      <c r="D6">
        <v>82</v>
      </c>
      <c r="E6" t="s">
        <v>16</v>
      </c>
      <c r="F6" s="5">
        <f>matome[[#This Row],[売上数]]*matome[[#This Row],[単価]]</f>
        <v>82</v>
      </c>
      <c r="M6" s="2">
        <v>46213</v>
      </c>
      <c r="N6">
        <f t="shared" si="0"/>
        <v>5</v>
      </c>
    </row>
    <row r="7" spans="1:14">
      <c r="A7" t="s">
        <v>17</v>
      </c>
      <c r="B7" t="s">
        <v>18</v>
      </c>
      <c r="C7">
        <v>1</v>
      </c>
      <c r="D7">
        <v>60</v>
      </c>
      <c r="E7" t="s">
        <v>19</v>
      </c>
      <c r="F7" s="5">
        <f>matome[[#This Row],[売上数]]*matome[[#This Row],[単価]]</f>
        <v>60</v>
      </c>
      <c r="M7" s="2">
        <v>46216</v>
      </c>
      <c r="N7">
        <f t="shared" si="0"/>
        <v>1</v>
      </c>
    </row>
    <row r="8" spans="1:14">
      <c r="A8" t="s">
        <v>20</v>
      </c>
      <c r="B8" t="s">
        <v>21</v>
      </c>
      <c r="C8">
        <v>1</v>
      </c>
      <c r="D8">
        <v>185</v>
      </c>
      <c r="E8" t="s">
        <v>22</v>
      </c>
      <c r="F8" s="5">
        <f>matome[[#This Row],[売上数]]*matome[[#This Row],[単価]]</f>
        <v>185</v>
      </c>
      <c r="M8" s="2">
        <v>46217</v>
      </c>
      <c r="N8">
        <f t="shared" si="0"/>
        <v>2</v>
      </c>
    </row>
    <row r="9" spans="1:14">
      <c r="A9" t="s">
        <v>23</v>
      </c>
      <c r="B9" t="s">
        <v>15</v>
      </c>
      <c r="C9">
        <v>1</v>
      </c>
      <c r="D9">
        <v>82</v>
      </c>
      <c r="E9" t="s">
        <v>24</v>
      </c>
      <c r="F9" s="5">
        <f>matome[[#This Row],[売上数]]*matome[[#This Row],[単価]]</f>
        <v>82</v>
      </c>
      <c r="M9" s="2">
        <v>46218</v>
      </c>
      <c r="N9">
        <f t="shared" si="0"/>
        <v>3</v>
      </c>
    </row>
    <row r="10" spans="1:14">
      <c r="A10" t="s">
        <v>25</v>
      </c>
      <c r="B10" t="s">
        <v>6</v>
      </c>
      <c r="C10">
        <v>2</v>
      </c>
      <c r="D10">
        <v>51</v>
      </c>
      <c r="E10" t="s">
        <v>26</v>
      </c>
      <c r="F10" s="5">
        <f>matome[[#This Row],[売上数]]*matome[[#This Row],[単価]]</f>
        <v>102</v>
      </c>
      <c r="M10" s="2">
        <v>46219</v>
      </c>
      <c r="N10">
        <f t="shared" si="0"/>
        <v>4</v>
      </c>
    </row>
    <row r="11" spans="1:14">
      <c r="A11" t="s">
        <v>27</v>
      </c>
      <c r="B11" t="s">
        <v>15</v>
      </c>
      <c r="C11">
        <v>1</v>
      </c>
      <c r="D11">
        <v>82</v>
      </c>
      <c r="E11" t="s">
        <v>28</v>
      </c>
      <c r="F11" s="5">
        <f>matome[[#This Row],[売上数]]*matome[[#This Row],[単価]]</f>
        <v>82</v>
      </c>
      <c r="M11" s="2">
        <v>46220</v>
      </c>
      <c r="N11">
        <f t="shared" si="0"/>
        <v>5</v>
      </c>
    </row>
    <row r="12" spans="1:14">
      <c r="A12" t="s">
        <v>29</v>
      </c>
      <c r="B12" t="s">
        <v>18</v>
      </c>
      <c r="C12">
        <v>1</v>
      </c>
      <c r="D12">
        <v>60</v>
      </c>
      <c r="E12" t="s">
        <v>30</v>
      </c>
      <c r="F12" s="5">
        <f>matome[[#This Row],[売上数]]*matome[[#This Row],[単価]]</f>
        <v>60</v>
      </c>
      <c r="M12" s="2">
        <v>46223</v>
      </c>
      <c r="N12">
        <f t="shared" si="0"/>
        <v>1</v>
      </c>
    </row>
    <row r="13" spans="1:14">
      <c r="A13" t="s">
        <v>31</v>
      </c>
      <c r="B13" t="s">
        <v>32</v>
      </c>
      <c r="C13">
        <v>1</v>
      </c>
      <c r="D13">
        <v>201</v>
      </c>
      <c r="E13" t="s">
        <v>33</v>
      </c>
      <c r="F13" s="5">
        <f>matome[[#This Row],[売上数]]*matome[[#This Row],[単価]]</f>
        <v>201</v>
      </c>
      <c r="M13" s="2">
        <v>46224</v>
      </c>
      <c r="N13">
        <f t="shared" si="0"/>
        <v>2</v>
      </c>
    </row>
    <row r="14" spans="1:14">
      <c r="A14" t="s">
        <v>34</v>
      </c>
      <c r="B14" t="s">
        <v>35</v>
      </c>
      <c r="C14">
        <v>1</v>
      </c>
      <c r="D14">
        <v>134</v>
      </c>
      <c r="E14" t="s">
        <v>36</v>
      </c>
      <c r="F14" s="5">
        <f>matome[[#This Row],[売上数]]*matome[[#This Row],[単価]]</f>
        <v>134</v>
      </c>
      <c r="M14" s="2">
        <v>46225</v>
      </c>
      <c r="N14">
        <f t="shared" si="0"/>
        <v>3</v>
      </c>
    </row>
    <row r="15" spans="1:14">
      <c r="A15" t="s">
        <v>37</v>
      </c>
      <c r="B15" t="s">
        <v>6</v>
      </c>
      <c r="C15">
        <v>1</v>
      </c>
      <c r="D15">
        <v>51</v>
      </c>
      <c r="E15" t="s">
        <v>38</v>
      </c>
      <c r="F15" s="5">
        <f>matome[[#This Row],[売上数]]*matome[[#This Row],[単価]]</f>
        <v>51</v>
      </c>
      <c r="M15" s="2">
        <v>46226</v>
      </c>
      <c r="N15">
        <f t="shared" si="0"/>
        <v>4</v>
      </c>
    </row>
    <row r="16" spans="1:14">
      <c r="A16" t="s">
        <v>39</v>
      </c>
      <c r="B16" t="s">
        <v>21</v>
      </c>
      <c r="C16">
        <v>1</v>
      </c>
      <c r="D16">
        <v>185</v>
      </c>
      <c r="E16" t="s">
        <v>40</v>
      </c>
      <c r="F16" s="5">
        <f>matome[[#This Row],[売上数]]*matome[[#This Row],[単価]]</f>
        <v>185</v>
      </c>
      <c r="M16" s="2">
        <v>46227</v>
      </c>
      <c r="N16">
        <f t="shared" si="0"/>
        <v>5</v>
      </c>
    </row>
    <row r="17" spans="1:14">
      <c r="A17" t="s">
        <v>41</v>
      </c>
      <c r="B17" t="s">
        <v>35</v>
      </c>
      <c r="C17">
        <v>1</v>
      </c>
      <c r="D17">
        <v>134</v>
      </c>
      <c r="E17" t="s">
        <v>42</v>
      </c>
      <c r="F17" s="5">
        <f>matome[[#This Row],[売上数]]*matome[[#This Row],[単価]]</f>
        <v>134</v>
      </c>
      <c r="M17" s="2">
        <v>46228</v>
      </c>
      <c r="N17">
        <f t="shared" si="0"/>
        <v>6</v>
      </c>
    </row>
    <row r="18" spans="1:14">
      <c r="A18" t="s">
        <v>43</v>
      </c>
      <c r="B18" t="s">
        <v>35</v>
      </c>
      <c r="C18">
        <v>1</v>
      </c>
      <c r="D18">
        <v>134</v>
      </c>
      <c r="E18" t="s">
        <v>44</v>
      </c>
      <c r="F18" s="5">
        <f>matome[[#This Row],[売上数]]*matome[[#This Row],[単価]]</f>
        <v>134</v>
      </c>
      <c r="M18" s="2"/>
    </row>
    <row r="19" spans="1:14">
      <c r="A19" t="s">
        <v>45</v>
      </c>
      <c r="B19" t="s">
        <v>46</v>
      </c>
      <c r="C19">
        <v>1</v>
      </c>
      <c r="D19">
        <v>41</v>
      </c>
      <c r="E19" t="s">
        <v>47</v>
      </c>
      <c r="F19" s="5">
        <f>matome[[#This Row],[売上数]]*matome[[#This Row],[単価]]</f>
        <v>41</v>
      </c>
      <c r="M19" s="2"/>
    </row>
    <row r="20" spans="1:14">
      <c r="A20" t="s">
        <v>48</v>
      </c>
      <c r="B20" t="s">
        <v>49</v>
      </c>
      <c r="C20">
        <v>1</v>
      </c>
      <c r="D20">
        <v>62</v>
      </c>
      <c r="E20" t="s">
        <v>50</v>
      </c>
      <c r="F20" s="5">
        <f>matome[[#This Row],[売上数]]*matome[[#This Row],[単価]]</f>
        <v>62</v>
      </c>
      <c r="M20" s="2"/>
    </row>
    <row r="21" spans="1:14">
      <c r="A21" t="s">
        <v>51</v>
      </c>
      <c r="B21" t="s">
        <v>13</v>
      </c>
      <c r="C21">
        <v>1</v>
      </c>
      <c r="D21">
        <v>82</v>
      </c>
      <c r="E21" t="s">
        <v>52</v>
      </c>
      <c r="F21" s="5">
        <f>matome[[#This Row],[売上数]]*matome[[#This Row],[単価]]</f>
        <v>82</v>
      </c>
      <c r="M21" s="2"/>
    </row>
    <row r="22" spans="1:14">
      <c r="A22" t="s">
        <v>53</v>
      </c>
      <c r="B22" t="s">
        <v>18</v>
      </c>
      <c r="C22">
        <v>1</v>
      </c>
      <c r="D22">
        <v>60</v>
      </c>
      <c r="E22" t="s">
        <v>54</v>
      </c>
      <c r="F22" s="5">
        <f>matome[[#This Row],[売上数]]*matome[[#This Row],[単価]]</f>
        <v>60</v>
      </c>
      <c r="M22" s="2"/>
    </row>
    <row r="23" spans="1:14">
      <c r="A23" t="s">
        <v>55</v>
      </c>
      <c r="B23" t="s">
        <v>35</v>
      </c>
      <c r="C23">
        <v>1</v>
      </c>
      <c r="D23">
        <v>134</v>
      </c>
      <c r="E23" t="s">
        <v>56</v>
      </c>
      <c r="F23" s="5">
        <f>matome[[#This Row],[売上数]]*matome[[#This Row],[単価]]</f>
        <v>134</v>
      </c>
      <c r="M23" s="2"/>
    </row>
    <row r="24" spans="1:14">
      <c r="A24" t="s">
        <v>57</v>
      </c>
      <c r="B24" t="s">
        <v>6</v>
      </c>
      <c r="C24">
        <v>1</v>
      </c>
      <c r="D24">
        <v>51</v>
      </c>
      <c r="E24" t="s">
        <v>58</v>
      </c>
      <c r="F24" s="5">
        <f>matome[[#This Row],[売上数]]*matome[[#This Row],[単価]]</f>
        <v>51</v>
      </c>
      <c r="M24" s="2"/>
    </row>
    <row r="25" spans="1:14">
      <c r="A25" t="s">
        <v>59</v>
      </c>
      <c r="B25" t="s">
        <v>11</v>
      </c>
      <c r="C25">
        <v>1</v>
      </c>
      <c r="D25">
        <v>41</v>
      </c>
      <c r="E25" t="s">
        <v>60</v>
      </c>
      <c r="F25" s="5">
        <f>matome[[#This Row],[売上数]]*matome[[#This Row],[単価]]</f>
        <v>41</v>
      </c>
      <c r="M25" s="2"/>
    </row>
    <row r="26" spans="1:14">
      <c r="A26" t="s">
        <v>61</v>
      </c>
      <c r="B26" t="s">
        <v>62</v>
      </c>
      <c r="C26">
        <v>1</v>
      </c>
      <c r="D26">
        <v>255</v>
      </c>
      <c r="E26" t="s">
        <v>63</v>
      </c>
      <c r="F26" s="5">
        <f>matome[[#This Row],[売上数]]*matome[[#This Row],[単価]]</f>
        <v>255</v>
      </c>
      <c r="M26" s="2"/>
    </row>
    <row r="27" spans="1:14">
      <c r="A27" t="s">
        <v>64</v>
      </c>
      <c r="B27" t="s">
        <v>46</v>
      </c>
      <c r="C27">
        <v>1</v>
      </c>
      <c r="D27">
        <v>41</v>
      </c>
      <c r="E27" t="s">
        <v>65</v>
      </c>
      <c r="F27" s="5">
        <f>matome[[#This Row],[売上数]]*matome[[#This Row],[単価]]</f>
        <v>41</v>
      </c>
      <c r="M27" s="2"/>
    </row>
    <row r="28" spans="1:14">
      <c r="A28" t="s">
        <v>66</v>
      </c>
      <c r="B28" t="s">
        <v>35</v>
      </c>
      <c r="C28">
        <v>1</v>
      </c>
      <c r="D28">
        <v>134</v>
      </c>
      <c r="E28" t="s">
        <v>65</v>
      </c>
      <c r="F28" s="5">
        <f>matome[[#This Row],[売上数]]*matome[[#This Row],[単価]]</f>
        <v>134</v>
      </c>
      <c r="M28" s="2"/>
    </row>
    <row r="29" spans="1:14">
      <c r="A29" t="s">
        <v>67</v>
      </c>
      <c r="B29" t="s">
        <v>18</v>
      </c>
      <c r="C29">
        <v>1</v>
      </c>
      <c r="D29">
        <v>60</v>
      </c>
      <c r="E29" t="s">
        <v>68</v>
      </c>
      <c r="F29" s="5">
        <f>matome[[#This Row],[売上数]]*matome[[#This Row],[単価]]</f>
        <v>60</v>
      </c>
      <c r="M29" s="2"/>
    </row>
    <row r="30" spans="1:14">
      <c r="A30" t="s">
        <v>69</v>
      </c>
      <c r="B30" t="s">
        <v>18</v>
      </c>
      <c r="C30">
        <v>1</v>
      </c>
      <c r="D30">
        <v>60</v>
      </c>
      <c r="E30" t="s">
        <v>70</v>
      </c>
      <c r="F30" s="5">
        <f>matome[[#This Row],[売上数]]*matome[[#This Row],[単価]]</f>
        <v>60</v>
      </c>
      <c r="M30" s="2"/>
    </row>
    <row r="31" spans="1:14">
      <c r="A31" t="s">
        <v>71</v>
      </c>
      <c r="B31" t="s">
        <v>18</v>
      </c>
      <c r="C31">
        <v>1</v>
      </c>
      <c r="D31">
        <v>60</v>
      </c>
      <c r="E31" t="s">
        <v>72</v>
      </c>
      <c r="F31" s="5">
        <f>matome[[#This Row],[売上数]]*matome[[#This Row],[単価]]</f>
        <v>60</v>
      </c>
      <c r="M31" s="2"/>
    </row>
    <row r="32" spans="1:14">
      <c r="A32" t="s">
        <v>73</v>
      </c>
      <c r="B32" t="s">
        <v>13</v>
      </c>
      <c r="C32">
        <v>1</v>
      </c>
      <c r="D32">
        <v>82</v>
      </c>
      <c r="E32" t="s">
        <v>72</v>
      </c>
      <c r="F32" s="5">
        <f>matome[[#This Row],[売上数]]*matome[[#This Row],[単価]]</f>
        <v>82</v>
      </c>
      <c r="M32" s="2"/>
    </row>
    <row r="33" spans="1:13">
      <c r="A33" t="s">
        <v>74</v>
      </c>
      <c r="B33" t="s">
        <v>35</v>
      </c>
      <c r="C33">
        <v>1</v>
      </c>
      <c r="D33">
        <v>134</v>
      </c>
      <c r="E33" t="s">
        <v>75</v>
      </c>
      <c r="F33" s="5">
        <f>matome[[#This Row],[売上数]]*matome[[#This Row],[単価]]</f>
        <v>134</v>
      </c>
      <c r="M33" s="2"/>
    </row>
    <row r="34" spans="1:13">
      <c r="A34" t="s">
        <v>76</v>
      </c>
      <c r="B34" t="s">
        <v>6</v>
      </c>
      <c r="C34">
        <v>1</v>
      </c>
      <c r="D34">
        <v>51</v>
      </c>
      <c r="E34" t="s">
        <v>77</v>
      </c>
      <c r="F34" s="5">
        <f>matome[[#This Row],[売上数]]*matome[[#This Row],[単価]]</f>
        <v>51</v>
      </c>
      <c r="M34" s="2"/>
    </row>
    <row r="35" spans="1:13">
      <c r="A35" t="s">
        <v>78</v>
      </c>
      <c r="B35" t="s">
        <v>46</v>
      </c>
      <c r="C35">
        <v>1</v>
      </c>
      <c r="D35">
        <v>41</v>
      </c>
      <c r="E35" t="s">
        <v>77</v>
      </c>
      <c r="F35" s="5">
        <f>matome[[#This Row],[売上数]]*matome[[#This Row],[単価]]</f>
        <v>41</v>
      </c>
      <c r="M35" s="2"/>
    </row>
    <row r="36" spans="1:13">
      <c r="A36" t="s">
        <v>79</v>
      </c>
      <c r="B36" t="s">
        <v>13</v>
      </c>
      <c r="C36">
        <v>1</v>
      </c>
      <c r="D36">
        <v>82</v>
      </c>
      <c r="E36" t="s">
        <v>77</v>
      </c>
      <c r="F36" s="5">
        <f>matome[[#This Row],[売上数]]*matome[[#This Row],[単価]]</f>
        <v>82</v>
      </c>
      <c r="M36" s="2"/>
    </row>
    <row r="37" spans="1:13">
      <c r="A37" t="s">
        <v>80</v>
      </c>
      <c r="B37" t="s">
        <v>6</v>
      </c>
      <c r="C37">
        <v>1</v>
      </c>
      <c r="D37">
        <v>51</v>
      </c>
      <c r="E37" t="s">
        <v>81</v>
      </c>
      <c r="F37" s="5">
        <f>matome[[#This Row],[売上数]]*matome[[#This Row],[単価]]</f>
        <v>51</v>
      </c>
      <c r="M37" s="2"/>
    </row>
    <row r="38" spans="1:13">
      <c r="A38" t="s">
        <v>82</v>
      </c>
      <c r="B38" t="s">
        <v>18</v>
      </c>
      <c r="C38">
        <v>1</v>
      </c>
      <c r="D38">
        <v>60</v>
      </c>
      <c r="E38" t="s">
        <v>81</v>
      </c>
      <c r="F38" s="5">
        <f>matome[[#This Row],[売上数]]*matome[[#This Row],[単価]]</f>
        <v>60</v>
      </c>
      <c r="M38" s="2"/>
    </row>
    <row r="39" spans="1:13">
      <c r="A39" t="s">
        <v>83</v>
      </c>
      <c r="B39" t="s">
        <v>46</v>
      </c>
      <c r="C39">
        <v>1</v>
      </c>
      <c r="D39">
        <v>41</v>
      </c>
      <c r="E39" t="s">
        <v>84</v>
      </c>
      <c r="F39" s="5">
        <f>matome[[#This Row],[売上数]]*matome[[#This Row],[単価]]</f>
        <v>41</v>
      </c>
      <c r="M39" s="2"/>
    </row>
    <row r="40" spans="1:13">
      <c r="A40" t="s">
        <v>85</v>
      </c>
      <c r="B40" t="s">
        <v>35</v>
      </c>
      <c r="C40">
        <v>1</v>
      </c>
      <c r="D40">
        <v>134</v>
      </c>
      <c r="E40" t="s">
        <v>86</v>
      </c>
      <c r="F40" s="5">
        <f>matome[[#This Row],[売上数]]*matome[[#This Row],[単価]]</f>
        <v>134</v>
      </c>
      <c r="M40" s="2"/>
    </row>
    <row r="41" spans="1:13">
      <c r="A41" t="s">
        <v>87</v>
      </c>
      <c r="B41" t="s">
        <v>13</v>
      </c>
      <c r="C41">
        <v>1</v>
      </c>
      <c r="D41">
        <v>82</v>
      </c>
      <c r="E41" t="s">
        <v>88</v>
      </c>
      <c r="F41" s="5">
        <f>matome[[#This Row],[売上数]]*matome[[#This Row],[単価]]</f>
        <v>82</v>
      </c>
      <c r="M41" s="2"/>
    </row>
    <row r="42" spans="1:13">
      <c r="A42" t="s">
        <v>89</v>
      </c>
      <c r="B42" t="s">
        <v>11</v>
      </c>
      <c r="C42">
        <v>2</v>
      </c>
      <c r="D42">
        <v>41</v>
      </c>
      <c r="E42" t="s">
        <v>90</v>
      </c>
      <c r="F42" s="5">
        <f>matome[[#This Row],[売上数]]*matome[[#This Row],[単価]]</f>
        <v>82</v>
      </c>
      <c r="M42" s="2"/>
    </row>
    <row r="43" spans="1:13">
      <c r="A43" t="s">
        <v>91</v>
      </c>
      <c r="B43" t="s">
        <v>15</v>
      </c>
      <c r="C43">
        <v>1</v>
      </c>
      <c r="D43">
        <v>82</v>
      </c>
      <c r="E43" t="s">
        <v>90</v>
      </c>
      <c r="F43" s="5">
        <f>matome[[#This Row],[売上数]]*matome[[#This Row],[単価]]</f>
        <v>82</v>
      </c>
      <c r="M43" s="2"/>
    </row>
    <row r="44" spans="1:13">
      <c r="A44" t="s">
        <v>92</v>
      </c>
      <c r="B44" t="s">
        <v>93</v>
      </c>
      <c r="C44">
        <v>1</v>
      </c>
      <c r="D44">
        <v>129</v>
      </c>
      <c r="E44" t="s">
        <v>94</v>
      </c>
      <c r="F44" s="5">
        <f>matome[[#This Row],[売上数]]*matome[[#This Row],[単価]]</f>
        <v>129</v>
      </c>
      <c r="M44" s="2"/>
    </row>
    <row r="45" spans="1:13">
      <c r="A45" t="s">
        <v>95</v>
      </c>
      <c r="B45" t="s">
        <v>96</v>
      </c>
      <c r="C45">
        <v>1</v>
      </c>
      <c r="D45">
        <v>288</v>
      </c>
      <c r="E45" t="s">
        <v>97</v>
      </c>
      <c r="F45" s="5">
        <f>matome[[#This Row],[売上数]]*matome[[#This Row],[単価]]</f>
        <v>288</v>
      </c>
      <c r="M45" s="2"/>
    </row>
    <row r="46" spans="1:13">
      <c r="A46" t="s">
        <v>98</v>
      </c>
      <c r="B46" t="s">
        <v>6</v>
      </c>
      <c r="C46">
        <v>1</v>
      </c>
      <c r="D46">
        <v>51</v>
      </c>
      <c r="E46" t="s">
        <v>99</v>
      </c>
      <c r="F46" s="5">
        <f>matome[[#This Row],[売上数]]*matome[[#This Row],[単価]]</f>
        <v>51</v>
      </c>
      <c r="M46" s="2"/>
    </row>
    <row r="47" spans="1:13">
      <c r="A47" t="s">
        <v>100</v>
      </c>
      <c r="B47" t="s">
        <v>46</v>
      </c>
      <c r="C47">
        <v>1</v>
      </c>
      <c r="D47">
        <v>41</v>
      </c>
      <c r="E47" t="s">
        <v>101</v>
      </c>
      <c r="F47" s="5">
        <f>matome[[#This Row],[売上数]]*matome[[#This Row],[単価]]</f>
        <v>41</v>
      </c>
      <c r="M47" s="2"/>
    </row>
    <row r="48" spans="1:13">
      <c r="A48" t="s">
        <v>102</v>
      </c>
      <c r="B48" t="s">
        <v>15</v>
      </c>
      <c r="C48">
        <v>1</v>
      </c>
      <c r="D48">
        <v>82</v>
      </c>
      <c r="E48" t="s">
        <v>103</v>
      </c>
      <c r="F48" s="5">
        <f>matome[[#This Row],[売上数]]*matome[[#This Row],[単価]]</f>
        <v>82</v>
      </c>
      <c r="M48" s="2"/>
    </row>
    <row r="49" spans="1:13">
      <c r="A49" t="s">
        <v>104</v>
      </c>
      <c r="B49" t="s">
        <v>49</v>
      </c>
      <c r="C49">
        <v>1</v>
      </c>
      <c r="D49">
        <v>62</v>
      </c>
      <c r="E49" t="s">
        <v>105</v>
      </c>
      <c r="F49" s="5">
        <f>matome[[#This Row],[売上数]]*matome[[#This Row],[単価]]</f>
        <v>62</v>
      </c>
      <c r="M49" s="2"/>
    </row>
    <row r="50" spans="1:13">
      <c r="A50" t="s">
        <v>106</v>
      </c>
      <c r="B50" t="s">
        <v>35</v>
      </c>
      <c r="C50">
        <v>1</v>
      </c>
      <c r="D50">
        <v>134</v>
      </c>
      <c r="E50" t="s">
        <v>107</v>
      </c>
      <c r="F50" s="5">
        <f>matome[[#This Row],[売上数]]*matome[[#This Row],[単価]]</f>
        <v>134</v>
      </c>
      <c r="M50" s="2"/>
    </row>
    <row r="51" spans="1:13">
      <c r="A51" t="s">
        <v>108</v>
      </c>
      <c r="B51" t="s">
        <v>49</v>
      </c>
      <c r="C51">
        <v>1</v>
      </c>
      <c r="D51">
        <v>62</v>
      </c>
      <c r="E51" t="s">
        <v>109</v>
      </c>
      <c r="F51" s="5">
        <f>matome[[#This Row],[売上数]]*matome[[#This Row],[単価]]</f>
        <v>62</v>
      </c>
      <c r="M51" s="2"/>
    </row>
    <row r="52" spans="1:13">
      <c r="A52" t="s">
        <v>110</v>
      </c>
      <c r="B52" t="s">
        <v>11</v>
      </c>
      <c r="C52">
        <v>2</v>
      </c>
      <c r="D52">
        <v>41</v>
      </c>
      <c r="E52" t="s">
        <v>111</v>
      </c>
      <c r="F52" s="5">
        <f>matome[[#This Row],[売上数]]*matome[[#This Row],[単価]]</f>
        <v>82</v>
      </c>
      <c r="M52" s="2"/>
    </row>
    <row r="53" spans="1:13">
      <c r="A53" t="s">
        <v>112</v>
      </c>
      <c r="B53" t="s">
        <v>21</v>
      </c>
      <c r="C53">
        <v>1</v>
      </c>
      <c r="D53">
        <v>185</v>
      </c>
      <c r="E53" t="s">
        <v>113</v>
      </c>
      <c r="F53" s="5">
        <f>matome[[#This Row],[売上数]]*matome[[#This Row],[単価]]</f>
        <v>185</v>
      </c>
      <c r="M53" s="2"/>
    </row>
    <row r="54" spans="1:13">
      <c r="A54" t="s">
        <v>114</v>
      </c>
      <c r="B54" t="s">
        <v>6</v>
      </c>
      <c r="C54">
        <v>1</v>
      </c>
      <c r="D54">
        <v>51</v>
      </c>
      <c r="E54" t="s">
        <v>115</v>
      </c>
      <c r="F54" s="5">
        <f>matome[[#This Row],[売上数]]*matome[[#This Row],[単価]]</f>
        <v>51</v>
      </c>
      <c r="M54" s="2"/>
    </row>
    <row r="55" spans="1:13">
      <c r="A55" t="s">
        <v>116</v>
      </c>
      <c r="B55" t="s">
        <v>6</v>
      </c>
      <c r="C55">
        <v>2</v>
      </c>
      <c r="D55">
        <v>51</v>
      </c>
      <c r="E55" t="s">
        <v>117</v>
      </c>
      <c r="F55" s="5">
        <f>matome[[#This Row],[売上数]]*matome[[#This Row],[単価]]</f>
        <v>102</v>
      </c>
      <c r="M55" s="2"/>
    </row>
    <row r="56" spans="1:13">
      <c r="A56" t="s">
        <v>118</v>
      </c>
      <c r="B56" t="s">
        <v>6</v>
      </c>
      <c r="C56">
        <v>1</v>
      </c>
      <c r="D56">
        <v>51</v>
      </c>
      <c r="E56" t="s">
        <v>119</v>
      </c>
      <c r="F56" s="5">
        <f>matome[[#This Row],[売上数]]*matome[[#This Row],[単価]]</f>
        <v>51</v>
      </c>
      <c r="M56" s="2"/>
    </row>
    <row r="57" spans="1:13">
      <c r="A57" t="s">
        <v>120</v>
      </c>
      <c r="B57" t="s">
        <v>49</v>
      </c>
      <c r="C57">
        <v>1</v>
      </c>
      <c r="D57">
        <v>62</v>
      </c>
      <c r="E57" t="s">
        <v>121</v>
      </c>
      <c r="F57" s="5">
        <f>matome[[#This Row],[売上数]]*matome[[#This Row],[単価]]</f>
        <v>62</v>
      </c>
      <c r="M57" s="2"/>
    </row>
    <row r="58" spans="1:13">
      <c r="A58" t="s">
        <v>122</v>
      </c>
      <c r="B58" t="s">
        <v>15</v>
      </c>
      <c r="C58">
        <v>1</v>
      </c>
      <c r="D58">
        <v>82</v>
      </c>
      <c r="E58" t="s">
        <v>123</v>
      </c>
      <c r="F58" s="5">
        <f>matome[[#This Row],[売上数]]*matome[[#This Row],[単価]]</f>
        <v>82</v>
      </c>
      <c r="M58" s="2"/>
    </row>
    <row r="59" spans="1:13">
      <c r="A59" t="s">
        <v>124</v>
      </c>
      <c r="B59" t="s">
        <v>6</v>
      </c>
      <c r="C59">
        <v>1</v>
      </c>
      <c r="D59">
        <v>51</v>
      </c>
      <c r="E59" t="s">
        <v>123</v>
      </c>
      <c r="F59" s="5">
        <f>matome[[#This Row],[売上数]]*matome[[#This Row],[単価]]</f>
        <v>51</v>
      </c>
      <c r="M59" s="2"/>
    </row>
    <row r="60" spans="1:13">
      <c r="A60" t="s">
        <v>125</v>
      </c>
      <c r="B60" t="s">
        <v>32</v>
      </c>
      <c r="C60">
        <v>1</v>
      </c>
      <c r="D60">
        <v>201</v>
      </c>
      <c r="E60" t="s">
        <v>126</v>
      </c>
      <c r="F60" s="5">
        <f>matome[[#This Row],[売上数]]*matome[[#This Row],[単価]]</f>
        <v>201</v>
      </c>
      <c r="M60" s="2"/>
    </row>
    <row r="61" spans="1:13">
      <c r="A61" t="s">
        <v>127</v>
      </c>
      <c r="B61" t="s">
        <v>128</v>
      </c>
      <c r="C61">
        <v>1</v>
      </c>
      <c r="D61">
        <v>185</v>
      </c>
      <c r="E61" t="s">
        <v>129</v>
      </c>
      <c r="F61" s="5">
        <f>matome[[#This Row],[売上数]]*matome[[#This Row],[単価]]</f>
        <v>185</v>
      </c>
      <c r="M61" s="2"/>
    </row>
    <row r="62" spans="1:13">
      <c r="A62" t="s">
        <v>130</v>
      </c>
      <c r="B62" t="s">
        <v>6</v>
      </c>
      <c r="C62">
        <v>1</v>
      </c>
      <c r="D62">
        <v>51</v>
      </c>
      <c r="E62" t="s">
        <v>131</v>
      </c>
      <c r="F62" s="5">
        <f>matome[[#This Row],[売上数]]*matome[[#This Row],[単価]]</f>
        <v>51</v>
      </c>
      <c r="M62" s="2"/>
    </row>
    <row r="63" spans="1:13">
      <c r="A63" t="s">
        <v>132</v>
      </c>
      <c r="B63" t="s">
        <v>18</v>
      </c>
      <c r="C63">
        <v>1</v>
      </c>
      <c r="D63">
        <v>60</v>
      </c>
      <c r="E63" t="s">
        <v>133</v>
      </c>
      <c r="F63" s="5">
        <f>matome[[#This Row],[売上数]]*matome[[#This Row],[単価]]</f>
        <v>60</v>
      </c>
      <c r="M63" s="2"/>
    </row>
    <row r="64" spans="1:13">
      <c r="A64" t="s">
        <v>134</v>
      </c>
      <c r="B64" t="s">
        <v>128</v>
      </c>
      <c r="C64">
        <v>1</v>
      </c>
      <c r="D64">
        <v>185</v>
      </c>
      <c r="E64" t="s">
        <v>135</v>
      </c>
      <c r="F64" s="5">
        <f>matome[[#This Row],[売上数]]*matome[[#This Row],[単価]]</f>
        <v>185</v>
      </c>
      <c r="M64" s="2"/>
    </row>
    <row r="65" spans="1:13">
      <c r="A65" t="s">
        <v>136</v>
      </c>
      <c r="B65" t="s">
        <v>6</v>
      </c>
      <c r="C65">
        <v>1</v>
      </c>
      <c r="D65">
        <v>51</v>
      </c>
      <c r="E65" t="s">
        <v>137</v>
      </c>
      <c r="F65" s="5">
        <f>matome[[#This Row],[売上数]]*matome[[#This Row],[単価]]</f>
        <v>51</v>
      </c>
      <c r="M65" s="2"/>
    </row>
    <row r="66" spans="1:13">
      <c r="A66" t="s">
        <v>138</v>
      </c>
      <c r="B66" t="s">
        <v>18</v>
      </c>
      <c r="C66">
        <v>1</v>
      </c>
      <c r="D66">
        <v>60</v>
      </c>
      <c r="E66" t="s">
        <v>139</v>
      </c>
      <c r="F66" s="5">
        <f>matome[[#This Row],[売上数]]*matome[[#This Row],[単価]]</f>
        <v>60</v>
      </c>
      <c r="M66" s="2"/>
    </row>
    <row r="67" spans="1:13">
      <c r="A67" t="s">
        <v>140</v>
      </c>
      <c r="B67" t="s">
        <v>6</v>
      </c>
      <c r="C67">
        <v>1</v>
      </c>
      <c r="D67">
        <v>51</v>
      </c>
      <c r="E67" t="s">
        <v>141</v>
      </c>
      <c r="F67" s="5">
        <f>matome[[#This Row],[売上数]]*matome[[#This Row],[単価]]</f>
        <v>51</v>
      </c>
      <c r="M67" s="2"/>
    </row>
    <row r="68" spans="1:13">
      <c r="A68" t="s">
        <v>142</v>
      </c>
      <c r="B68" t="s">
        <v>32</v>
      </c>
      <c r="C68">
        <v>2</v>
      </c>
      <c r="D68">
        <v>201</v>
      </c>
      <c r="E68" t="s">
        <v>143</v>
      </c>
      <c r="F68" s="5">
        <f>matome[[#This Row],[売上数]]*matome[[#This Row],[単価]]</f>
        <v>402</v>
      </c>
      <c r="M68" s="2"/>
    </row>
    <row r="69" spans="1:13">
      <c r="A69" t="s">
        <v>144</v>
      </c>
      <c r="B69" t="s">
        <v>35</v>
      </c>
      <c r="C69">
        <v>1</v>
      </c>
      <c r="D69">
        <v>134</v>
      </c>
      <c r="E69" t="s">
        <v>145</v>
      </c>
      <c r="F69" s="5">
        <f>matome[[#This Row],[売上数]]*matome[[#This Row],[単価]]</f>
        <v>134</v>
      </c>
      <c r="M69" s="2"/>
    </row>
    <row r="70" spans="1:13">
      <c r="A70" t="s">
        <v>146</v>
      </c>
      <c r="B70" t="s">
        <v>11</v>
      </c>
      <c r="C70">
        <v>2</v>
      </c>
      <c r="D70">
        <v>41</v>
      </c>
      <c r="E70" t="s">
        <v>147</v>
      </c>
      <c r="F70" s="5">
        <f>matome[[#This Row],[売上数]]*matome[[#This Row],[単価]]</f>
        <v>82</v>
      </c>
      <c r="M70" s="2"/>
    </row>
    <row r="71" spans="1:13">
      <c r="A71" t="s">
        <v>148</v>
      </c>
      <c r="B71" t="s">
        <v>13</v>
      </c>
      <c r="C71">
        <v>1</v>
      </c>
      <c r="D71">
        <v>82</v>
      </c>
      <c r="E71" t="s">
        <v>147</v>
      </c>
      <c r="F71" s="5">
        <f>matome[[#This Row],[売上数]]*matome[[#This Row],[単価]]</f>
        <v>82</v>
      </c>
      <c r="M71" s="2"/>
    </row>
    <row r="72" spans="1:13">
      <c r="A72" t="s">
        <v>149</v>
      </c>
      <c r="B72" t="s">
        <v>15</v>
      </c>
      <c r="C72">
        <v>1</v>
      </c>
      <c r="D72">
        <v>82</v>
      </c>
      <c r="E72" t="s">
        <v>150</v>
      </c>
      <c r="F72" s="5">
        <f>matome[[#This Row],[売上数]]*matome[[#This Row],[単価]]</f>
        <v>82</v>
      </c>
      <c r="M72" s="2"/>
    </row>
    <row r="73" spans="1:13">
      <c r="A73" t="s">
        <v>151</v>
      </c>
      <c r="B73" t="s">
        <v>46</v>
      </c>
      <c r="C73">
        <v>1</v>
      </c>
      <c r="D73">
        <v>41</v>
      </c>
      <c r="E73" t="s">
        <v>150</v>
      </c>
      <c r="F73" s="5">
        <f>matome[[#This Row],[売上数]]*matome[[#This Row],[単価]]</f>
        <v>41</v>
      </c>
      <c r="M73" s="2"/>
    </row>
    <row r="74" spans="1:13">
      <c r="A74" t="s">
        <v>152</v>
      </c>
      <c r="B74" t="s">
        <v>13</v>
      </c>
      <c r="C74">
        <v>1</v>
      </c>
      <c r="D74">
        <v>82</v>
      </c>
      <c r="E74" t="s">
        <v>153</v>
      </c>
      <c r="F74" s="5">
        <f>matome[[#This Row],[売上数]]*matome[[#This Row],[単価]]</f>
        <v>82</v>
      </c>
      <c r="M74" s="2"/>
    </row>
    <row r="75" spans="1:13">
      <c r="A75" t="s">
        <v>154</v>
      </c>
      <c r="B75" t="s">
        <v>46</v>
      </c>
      <c r="C75">
        <v>2</v>
      </c>
      <c r="D75">
        <v>41</v>
      </c>
      <c r="E75" t="s">
        <v>155</v>
      </c>
      <c r="F75" s="5">
        <f>matome[[#This Row],[売上数]]*matome[[#This Row],[単価]]</f>
        <v>82</v>
      </c>
      <c r="M75" s="2"/>
    </row>
    <row r="76" spans="1:13">
      <c r="A76" t="s">
        <v>156</v>
      </c>
      <c r="B76" t="s">
        <v>49</v>
      </c>
      <c r="C76">
        <v>1</v>
      </c>
      <c r="D76">
        <v>62</v>
      </c>
      <c r="E76" t="s">
        <v>157</v>
      </c>
      <c r="F76" s="5">
        <f>matome[[#This Row],[売上数]]*matome[[#This Row],[単価]]</f>
        <v>62</v>
      </c>
      <c r="M76" s="2"/>
    </row>
    <row r="77" spans="1:13">
      <c r="A77" t="s">
        <v>158</v>
      </c>
      <c r="B77" t="s">
        <v>49</v>
      </c>
      <c r="C77">
        <v>1</v>
      </c>
      <c r="D77">
        <v>62</v>
      </c>
      <c r="E77" t="s">
        <v>159</v>
      </c>
      <c r="F77" s="5">
        <f>matome[[#This Row],[売上数]]*matome[[#This Row],[単価]]</f>
        <v>62</v>
      </c>
      <c r="M77" s="2"/>
    </row>
    <row r="78" spans="1:13">
      <c r="A78" t="s">
        <v>160</v>
      </c>
      <c r="B78" t="s">
        <v>21</v>
      </c>
      <c r="C78">
        <v>1</v>
      </c>
      <c r="D78">
        <v>185</v>
      </c>
      <c r="E78" t="s">
        <v>161</v>
      </c>
      <c r="F78" s="5">
        <f>matome[[#This Row],[売上数]]*matome[[#This Row],[単価]]</f>
        <v>185</v>
      </c>
      <c r="M78" s="2"/>
    </row>
    <row r="79" spans="1:13">
      <c r="A79" t="s">
        <v>162</v>
      </c>
      <c r="B79" t="s">
        <v>6</v>
      </c>
      <c r="C79">
        <v>1</v>
      </c>
      <c r="D79">
        <v>51</v>
      </c>
      <c r="E79" t="s">
        <v>163</v>
      </c>
      <c r="F79" s="5">
        <f>matome[[#This Row],[売上数]]*matome[[#This Row],[単価]]</f>
        <v>51</v>
      </c>
      <c r="M79" s="2"/>
    </row>
    <row r="80" spans="1:13">
      <c r="A80" t="s">
        <v>164</v>
      </c>
      <c r="B80" t="s">
        <v>18</v>
      </c>
      <c r="C80">
        <v>1</v>
      </c>
      <c r="D80">
        <v>60</v>
      </c>
      <c r="E80" t="s">
        <v>165</v>
      </c>
      <c r="F80" s="5">
        <f>matome[[#This Row],[売上数]]*matome[[#This Row],[単価]]</f>
        <v>60</v>
      </c>
      <c r="M80" s="2"/>
    </row>
    <row r="81" spans="1:13">
      <c r="A81" t="s">
        <v>166</v>
      </c>
      <c r="B81" t="s">
        <v>96</v>
      </c>
      <c r="C81">
        <v>1</v>
      </c>
      <c r="D81">
        <v>288</v>
      </c>
      <c r="E81" t="s">
        <v>167</v>
      </c>
      <c r="F81" s="5">
        <f>matome[[#This Row],[売上数]]*matome[[#This Row],[単価]]</f>
        <v>288</v>
      </c>
      <c r="M81" s="2"/>
    </row>
    <row r="82" spans="1:13">
      <c r="A82" t="s">
        <v>168</v>
      </c>
      <c r="B82" t="s">
        <v>13</v>
      </c>
      <c r="C82">
        <v>1</v>
      </c>
      <c r="D82">
        <v>82</v>
      </c>
      <c r="E82" t="s">
        <v>169</v>
      </c>
      <c r="F82" s="5">
        <f>matome[[#This Row],[売上数]]*matome[[#This Row],[単価]]</f>
        <v>82</v>
      </c>
      <c r="M82" s="2"/>
    </row>
    <row r="83" spans="1:13">
      <c r="A83" t="s">
        <v>170</v>
      </c>
      <c r="B83" t="s">
        <v>11</v>
      </c>
      <c r="C83">
        <v>1</v>
      </c>
      <c r="D83">
        <v>41</v>
      </c>
      <c r="E83" t="s">
        <v>169</v>
      </c>
      <c r="F83" s="5">
        <f>matome[[#This Row],[売上数]]*matome[[#This Row],[単価]]</f>
        <v>41</v>
      </c>
      <c r="M83" s="2"/>
    </row>
    <row r="84" spans="1:13">
      <c r="A84" t="s">
        <v>171</v>
      </c>
      <c r="B84" t="s">
        <v>18</v>
      </c>
      <c r="C84">
        <v>1</v>
      </c>
      <c r="D84">
        <v>60</v>
      </c>
      <c r="E84" t="s">
        <v>172</v>
      </c>
      <c r="F84" s="5">
        <f>matome[[#This Row],[売上数]]*matome[[#This Row],[単価]]</f>
        <v>60</v>
      </c>
      <c r="M84" s="2"/>
    </row>
    <row r="85" spans="1:13">
      <c r="A85" t="s">
        <v>173</v>
      </c>
      <c r="B85" t="s">
        <v>49</v>
      </c>
      <c r="C85">
        <v>1</v>
      </c>
      <c r="D85">
        <v>62</v>
      </c>
      <c r="E85" t="s">
        <v>174</v>
      </c>
      <c r="F85" s="5">
        <f>matome[[#This Row],[売上数]]*matome[[#This Row],[単価]]</f>
        <v>62</v>
      </c>
      <c r="M85" s="2"/>
    </row>
    <row r="86" spans="1:13">
      <c r="A86" t="s">
        <v>175</v>
      </c>
      <c r="B86" t="s">
        <v>46</v>
      </c>
      <c r="C86">
        <v>1</v>
      </c>
      <c r="D86">
        <v>41</v>
      </c>
      <c r="E86" t="s">
        <v>174</v>
      </c>
      <c r="F86" s="5">
        <f>matome[[#This Row],[売上数]]*matome[[#This Row],[単価]]</f>
        <v>41</v>
      </c>
      <c r="M86" s="2"/>
    </row>
    <row r="87" spans="1:13">
      <c r="A87" t="s">
        <v>176</v>
      </c>
      <c r="B87" t="s">
        <v>15</v>
      </c>
      <c r="C87">
        <v>1</v>
      </c>
      <c r="D87">
        <v>82</v>
      </c>
      <c r="E87" t="s">
        <v>177</v>
      </c>
      <c r="F87" s="5">
        <f>matome[[#This Row],[売上数]]*matome[[#This Row],[単価]]</f>
        <v>82</v>
      </c>
      <c r="M87" s="2"/>
    </row>
    <row r="88" spans="1:13">
      <c r="A88" t="s">
        <v>178</v>
      </c>
      <c r="B88" t="s">
        <v>46</v>
      </c>
      <c r="C88">
        <v>1</v>
      </c>
      <c r="D88">
        <v>41</v>
      </c>
      <c r="E88" t="s">
        <v>177</v>
      </c>
      <c r="F88" s="5">
        <f>matome[[#This Row],[売上数]]*matome[[#This Row],[単価]]</f>
        <v>41</v>
      </c>
      <c r="M88" s="2"/>
    </row>
    <row r="89" spans="1:13">
      <c r="A89" t="s">
        <v>179</v>
      </c>
      <c r="B89" t="s">
        <v>32</v>
      </c>
      <c r="C89">
        <v>1</v>
      </c>
      <c r="D89">
        <v>201</v>
      </c>
      <c r="E89" t="s">
        <v>180</v>
      </c>
      <c r="F89" s="5">
        <f>matome[[#This Row],[売上数]]*matome[[#This Row],[単価]]</f>
        <v>201</v>
      </c>
      <c r="M89" s="2"/>
    </row>
    <row r="90" spans="1:13">
      <c r="A90" t="s">
        <v>181</v>
      </c>
      <c r="B90" t="s">
        <v>18</v>
      </c>
      <c r="C90">
        <v>1</v>
      </c>
      <c r="D90">
        <v>60</v>
      </c>
      <c r="E90" t="s">
        <v>182</v>
      </c>
      <c r="F90" s="5">
        <f>matome[[#This Row],[売上数]]*matome[[#This Row],[単価]]</f>
        <v>60</v>
      </c>
      <c r="M90" s="2"/>
    </row>
    <row r="91" spans="1:13">
      <c r="A91" t="s">
        <v>183</v>
      </c>
      <c r="B91" t="s">
        <v>35</v>
      </c>
      <c r="C91">
        <v>1</v>
      </c>
      <c r="D91">
        <v>134</v>
      </c>
      <c r="E91" t="s">
        <v>184</v>
      </c>
      <c r="F91" s="5">
        <f>matome[[#This Row],[売上数]]*matome[[#This Row],[単価]]</f>
        <v>134</v>
      </c>
      <c r="M91" s="2"/>
    </row>
    <row r="92" spans="1:13">
      <c r="A92" t="s">
        <v>185</v>
      </c>
      <c r="B92" t="s">
        <v>49</v>
      </c>
      <c r="C92">
        <v>1</v>
      </c>
      <c r="D92">
        <v>62</v>
      </c>
      <c r="E92" t="s">
        <v>186</v>
      </c>
      <c r="F92" s="5">
        <f>matome[[#This Row],[売上数]]*matome[[#This Row],[単価]]</f>
        <v>62</v>
      </c>
      <c r="M92" s="2"/>
    </row>
    <row r="93" spans="1:13">
      <c r="A93" t="s">
        <v>187</v>
      </c>
      <c r="B93" t="s">
        <v>35</v>
      </c>
      <c r="C93">
        <v>1</v>
      </c>
      <c r="D93">
        <v>134</v>
      </c>
      <c r="E93" t="s">
        <v>188</v>
      </c>
      <c r="F93" s="5">
        <f>matome[[#This Row],[売上数]]*matome[[#This Row],[単価]]</f>
        <v>134</v>
      </c>
      <c r="M93" s="2"/>
    </row>
    <row r="94" spans="1:13">
      <c r="A94" t="s">
        <v>189</v>
      </c>
      <c r="B94" t="s">
        <v>35</v>
      </c>
      <c r="C94">
        <v>1</v>
      </c>
      <c r="D94">
        <v>134</v>
      </c>
      <c r="E94" t="s">
        <v>190</v>
      </c>
      <c r="F94" s="5">
        <f>matome[[#This Row],[売上数]]*matome[[#This Row],[単価]]</f>
        <v>134</v>
      </c>
      <c r="M94" s="2"/>
    </row>
    <row r="95" spans="1:13">
      <c r="A95" t="s">
        <v>191</v>
      </c>
      <c r="B95" t="s">
        <v>13</v>
      </c>
      <c r="C95">
        <v>1</v>
      </c>
      <c r="D95">
        <v>82</v>
      </c>
      <c r="E95" t="s">
        <v>192</v>
      </c>
      <c r="F95" s="5">
        <f>matome[[#This Row],[売上数]]*matome[[#This Row],[単価]]</f>
        <v>82</v>
      </c>
      <c r="M95" s="2"/>
    </row>
    <row r="96" spans="1:13">
      <c r="A96" t="s">
        <v>193</v>
      </c>
      <c r="B96" t="s">
        <v>35</v>
      </c>
      <c r="C96">
        <v>1</v>
      </c>
      <c r="D96">
        <v>134</v>
      </c>
      <c r="E96" t="s">
        <v>194</v>
      </c>
      <c r="F96" s="5">
        <f>matome[[#This Row],[売上数]]*matome[[#This Row],[単価]]</f>
        <v>134</v>
      </c>
      <c r="M96" s="2"/>
    </row>
    <row r="97" spans="1:13">
      <c r="A97" t="s">
        <v>195</v>
      </c>
      <c r="B97" t="s">
        <v>96</v>
      </c>
      <c r="C97">
        <v>1</v>
      </c>
      <c r="D97">
        <v>288</v>
      </c>
      <c r="E97" t="s">
        <v>196</v>
      </c>
      <c r="F97" s="5">
        <f>matome[[#This Row],[売上数]]*matome[[#This Row],[単価]]</f>
        <v>288</v>
      </c>
      <c r="M97" s="2"/>
    </row>
    <row r="98" spans="1:13">
      <c r="A98" t="s">
        <v>197</v>
      </c>
      <c r="B98" t="s">
        <v>15</v>
      </c>
      <c r="C98">
        <v>1</v>
      </c>
      <c r="D98">
        <v>82</v>
      </c>
      <c r="E98" t="s">
        <v>198</v>
      </c>
      <c r="F98" s="5">
        <f>matome[[#This Row],[売上数]]*matome[[#This Row],[単価]]</f>
        <v>82</v>
      </c>
      <c r="M98" s="2"/>
    </row>
    <row r="99" spans="1:13">
      <c r="A99" t="s">
        <v>199</v>
      </c>
      <c r="B99" t="s">
        <v>35</v>
      </c>
      <c r="C99">
        <v>1</v>
      </c>
      <c r="D99">
        <v>134</v>
      </c>
      <c r="E99" t="s">
        <v>200</v>
      </c>
      <c r="F99" s="5">
        <f>matome[[#This Row],[売上数]]*matome[[#This Row],[単価]]</f>
        <v>134</v>
      </c>
      <c r="M99" s="2"/>
    </row>
    <row r="100" spans="1:13">
      <c r="A100" t="s">
        <v>201</v>
      </c>
      <c r="B100" t="s">
        <v>18</v>
      </c>
      <c r="C100">
        <v>1</v>
      </c>
      <c r="D100">
        <v>60</v>
      </c>
      <c r="E100" t="s">
        <v>202</v>
      </c>
      <c r="F100" s="5">
        <f>matome[[#This Row],[売上数]]*matome[[#This Row],[単価]]</f>
        <v>60</v>
      </c>
      <c r="M100" s="2"/>
    </row>
    <row r="101" spans="1:13">
      <c r="A101" t="s">
        <v>203</v>
      </c>
      <c r="B101" t="s">
        <v>18</v>
      </c>
      <c r="C101">
        <v>1</v>
      </c>
      <c r="D101">
        <v>60</v>
      </c>
      <c r="E101" t="s">
        <v>204</v>
      </c>
      <c r="F101" s="5">
        <f>matome[[#This Row],[売上数]]*matome[[#This Row],[単価]]</f>
        <v>60</v>
      </c>
      <c r="M101" s="2"/>
    </row>
    <row r="102" spans="1:13">
      <c r="A102" t="s">
        <v>205</v>
      </c>
      <c r="B102" t="s">
        <v>206</v>
      </c>
      <c r="C102">
        <v>1</v>
      </c>
      <c r="D102">
        <v>82</v>
      </c>
      <c r="E102" t="s">
        <v>204</v>
      </c>
      <c r="F102" s="5">
        <f>matome[[#This Row],[売上数]]*matome[[#This Row],[単価]]</f>
        <v>82</v>
      </c>
      <c r="M102" s="2"/>
    </row>
    <row r="103" spans="1:13">
      <c r="A103" t="s">
        <v>207</v>
      </c>
      <c r="B103" t="s">
        <v>18</v>
      </c>
      <c r="C103">
        <v>2</v>
      </c>
      <c r="D103">
        <v>60</v>
      </c>
      <c r="E103" t="s">
        <v>208</v>
      </c>
      <c r="F103" s="5">
        <f>matome[[#This Row],[売上数]]*matome[[#This Row],[単価]]</f>
        <v>120</v>
      </c>
      <c r="M103" s="2"/>
    </row>
    <row r="104" spans="1:13">
      <c r="A104" t="s">
        <v>209</v>
      </c>
      <c r="B104" t="s">
        <v>6</v>
      </c>
      <c r="C104">
        <v>1</v>
      </c>
      <c r="D104">
        <v>51</v>
      </c>
      <c r="E104" t="s">
        <v>210</v>
      </c>
      <c r="F104" s="5">
        <f>matome[[#This Row],[売上数]]*matome[[#This Row],[単価]]</f>
        <v>51</v>
      </c>
      <c r="M104" s="2"/>
    </row>
    <row r="105" spans="1:13">
      <c r="A105" t="s">
        <v>211</v>
      </c>
      <c r="B105" t="s">
        <v>15</v>
      </c>
      <c r="C105">
        <v>1</v>
      </c>
      <c r="D105">
        <v>82</v>
      </c>
      <c r="E105" t="s">
        <v>210</v>
      </c>
      <c r="F105" s="5">
        <f>matome[[#This Row],[売上数]]*matome[[#This Row],[単価]]</f>
        <v>82</v>
      </c>
      <c r="M105" s="2"/>
    </row>
    <row r="106" spans="1:13">
      <c r="A106" t="s">
        <v>212</v>
      </c>
      <c r="B106" t="s">
        <v>18</v>
      </c>
      <c r="C106">
        <v>1</v>
      </c>
      <c r="D106">
        <v>60</v>
      </c>
      <c r="E106" t="s">
        <v>213</v>
      </c>
      <c r="F106" s="5">
        <f>matome[[#This Row],[売上数]]*matome[[#This Row],[単価]]</f>
        <v>60</v>
      </c>
      <c r="M106" s="2"/>
    </row>
    <row r="107" spans="1:13">
      <c r="A107" t="s">
        <v>214</v>
      </c>
      <c r="B107" t="s">
        <v>96</v>
      </c>
      <c r="C107">
        <v>1</v>
      </c>
      <c r="D107">
        <v>288</v>
      </c>
      <c r="E107" t="s">
        <v>215</v>
      </c>
      <c r="F107" s="5">
        <f>matome[[#This Row],[売上数]]*matome[[#This Row],[単価]]</f>
        <v>288</v>
      </c>
      <c r="M107" s="2"/>
    </row>
    <row r="108" spans="1:13">
      <c r="A108" t="s">
        <v>216</v>
      </c>
      <c r="B108" t="s">
        <v>6</v>
      </c>
      <c r="C108">
        <v>1</v>
      </c>
      <c r="D108">
        <v>51</v>
      </c>
      <c r="E108" t="s">
        <v>217</v>
      </c>
      <c r="F108" s="5">
        <f>matome[[#This Row],[売上数]]*matome[[#This Row],[単価]]</f>
        <v>51</v>
      </c>
      <c r="M108" s="2"/>
    </row>
    <row r="109" spans="1:13">
      <c r="A109" t="s">
        <v>218</v>
      </c>
      <c r="B109" t="s">
        <v>206</v>
      </c>
      <c r="C109">
        <v>1</v>
      </c>
      <c r="D109">
        <v>82</v>
      </c>
      <c r="E109" t="s">
        <v>219</v>
      </c>
      <c r="F109" s="5">
        <f>matome[[#This Row],[売上数]]*matome[[#This Row],[単価]]</f>
        <v>82</v>
      </c>
      <c r="M109" s="2"/>
    </row>
    <row r="110" spans="1:13">
      <c r="A110" t="s">
        <v>220</v>
      </c>
      <c r="B110" t="s">
        <v>46</v>
      </c>
      <c r="C110">
        <v>1</v>
      </c>
      <c r="D110">
        <v>41</v>
      </c>
      <c r="E110" t="s">
        <v>219</v>
      </c>
      <c r="F110" s="5">
        <f>matome[[#This Row],[売上数]]*matome[[#This Row],[単価]]</f>
        <v>41</v>
      </c>
      <c r="M110" s="2"/>
    </row>
    <row r="111" spans="1:13">
      <c r="A111" t="s">
        <v>221</v>
      </c>
      <c r="B111" t="s">
        <v>13</v>
      </c>
      <c r="C111">
        <v>1</v>
      </c>
      <c r="D111">
        <v>82</v>
      </c>
      <c r="E111" t="s">
        <v>219</v>
      </c>
      <c r="F111" s="5">
        <f>matome[[#This Row],[売上数]]*matome[[#This Row],[単価]]</f>
        <v>82</v>
      </c>
      <c r="M111" s="2"/>
    </row>
    <row r="112" spans="1:13">
      <c r="A112" t="s">
        <v>222</v>
      </c>
      <c r="B112" t="s">
        <v>6</v>
      </c>
      <c r="C112">
        <v>1</v>
      </c>
      <c r="D112">
        <v>51</v>
      </c>
      <c r="E112" t="s">
        <v>223</v>
      </c>
      <c r="F112" s="5">
        <f>matome[[#This Row],[売上数]]*matome[[#This Row],[単価]]</f>
        <v>51</v>
      </c>
      <c r="M112" s="2"/>
    </row>
    <row r="113" spans="1:13">
      <c r="A113" t="s">
        <v>224</v>
      </c>
      <c r="B113" t="s">
        <v>18</v>
      </c>
      <c r="C113">
        <v>2</v>
      </c>
      <c r="D113">
        <v>60</v>
      </c>
      <c r="E113" t="s">
        <v>225</v>
      </c>
      <c r="F113" s="5">
        <f>matome[[#This Row],[売上数]]*matome[[#This Row],[単価]]</f>
        <v>120</v>
      </c>
      <c r="M113" s="2"/>
    </row>
    <row r="114" spans="1:13">
      <c r="A114" t="s">
        <v>226</v>
      </c>
      <c r="B114" t="s">
        <v>13</v>
      </c>
      <c r="C114">
        <v>1</v>
      </c>
      <c r="D114">
        <v>82</v>
      </c>
      <c r="E114" t="s">
        <v>227</v>
      </c>
      <c r="F114" s="5">
        <f>matome[[#This Row],[売上数]]*matome[[#This Row],[単価]]</f>
        <v>82</v>
      </c>
      <c r="M114" s="2"/>
    </row>
    <row r="115" spans="1:13">
      <c r="A115" t="s">
        <v>228</v>
      </c>
      <c r="B115" t="s">
        <v>35</v>
      </c>
      <c r="C115">
        <v>1</v>
      </c>
      <c r="D115">
        <v>134</v>
      </c>
      <c r="E115" t="s">
        <v>229</v>
      </c>
      <c r="F115" s="5">
        <f>matome[[#This Row],[売上数]]*matome[[#This Row],[単価]]</f>
        <v>134</v>
      </c>
      <c r="M115" s="2"/>
    </row>
    <row r="116" spans="1:13">
      <c r="A116" t="s">
        <v>230</v>
      </c>
      <c r="B116" t="s">
        <v>206</v>
      </c>
      <c r="C116">
        <v>1</v>
      </c>
      <c r="D116">
        <v>82</v>
      </c>
      <c r="E116" t="s">
        <v>231</v>
      </c>
      <c r="F116" s="5">
        <f>matome[[#This Row],[売上数]]*matome[[#This Row],[単価]]</f>
        <v>82</v>
      </c>
      <c r="M116" s="2"/>
    </row>
    <row r="117" spans="1:13">
      <c r="A117" t="s">
        <v>232</v>
      </c>
      <c r="B117" t="s">
        <v>15</v>
      </c>
      <c r="C117">
        <v>1</v>
      </c>
      <c r="D117">
        <v>82</v>
      </c>
      <c r="E117" t="s">
        <v>231</v>
      </c>
      <c r="F117" s="5">
        <f>matome[[#This Row],[売上数]]*matome[[#This Row],[単価]]</f>
        <v>82</v>
      </c>
      <c r="M117" s="2"/>
    </row>
    <row r="118" spans="1:13">
      <c r="A118" t="s">
        <v>233</v>
      </c>
      <c r="B118" t="s">
        <v>13</v>
      </c>
      <c r="C118">
        <v>1</v>
      </c>
      <c r="D118">
        <v>82</v>
      </c>
      <c r="E118" t="s">
        <v>231</v>
      </c>
      <c r="F118" s="5">
        <f>matome[[#This Row],[売上数]]*matome[[#This Row],[単価]]</f>
        <v>82</v>
      </c>
      <c r="M118" s="2"/>
    </row>
    <row r="119" spans="1:13">
      <c r="A119" t="s">
        <v>234</v>
      </c>
      <c r="B119" t="s">
        <v>18</v>
      </c>
      <c r="C119">
        <v>1</v>
      </c>
      <c r="D119">
        <v>60</v>
      </c>
      <c r="E119" t="s">
        <v>235</v>
      </c>
      <c r="F119" s="5">
        <f>matome[[#This Row],[売上数]]*matome[[#This Row],[単価]]</f>
        <v>60</v>
      </c>
      <c r="M119" s="2"/>
    </row>
    <row r="120" spans="1:13">
      <c r="A120" t="s">
        <v>236</v>
      </c>
      <c r="B120" t="s">
        <v>206</v>
      </c>
      <c r="C120">
        <v>1</v>
      </c>
      <c r="D120">
        <v>82</v>
      </c>
      <c r="E120" t="s">
        <v>237</v>
      </c>
      <c r="F120" s="5">
        <f>matome[[#This Row],[売上数]]*matome[[#This Row],[単価]]</f>
        <v>82</v>
      </c>
      <c r="M120" s="2"/>
    </row>
    <row r="121" spans="1:13">
      <c r="A121" t="s">
        <v>238</v>
      </c>
      <c r="B121" t="s">
        <v>6</v>
      </c>
      <c r="C121">
        <v>1</v>
      </c>
      <c r="D121">
        <v>51</v>
      </c>
      <c r="E121" t="s">
        <v>239</v>
      </c>
      <c r="F121" s="5">
        <f>matome[[#This Row],[売上数]]*matome[[#This Row],[単価]]</f>
        <v>51</v>
      </c>
      <c r="M121" s="2"/>
    </row>
    <row r="122" spans="1:13">
      <c r="A122" t="s">
        <v>240</v>
      </c>
      <c r="B122" t="s">
        <v>6</v>
      </c>
      <c r="C122">
        <v>4</v>
      </c>
      <c r="D122">
        <v>51</v>
      </c>
      <c r="E122" t="s">
        <v>241</v>
      </c>
      <c r="F122" s="5">
        <f>matome[[#This Row],[売上数]]*matome[[#This Row],[単価]]</f>
        <v>204</v>
      </c>
      <c r="M122" s="2"/>
    </row>
    <row r="123" spans="1:13">
      <c r="A123" t="s">
        <v>242</v>
      </c>
      <c r="B123" t="s">
        <v>46</v>
      </c>
      <c r="C123">
        <v>1</v>
      </c>
      <c r="D123">
        <v>41</v>
      </c>
      <c r="E123" t="s">
        <v>243</v>
      </c>
      <c r="F123" s="5">
        <f>matome[[#This Row],[売上数]]*matome[[#This Row],[単価]]</f>
        <v>41</v>
      </c>
      <c r="M123" s="2"/>
    </row>
    <row r="124" spans="1:13">
      <c r="A124" t="s">
        <v>244</v>
      </c>
      <c r="B124" t="s">
        <v>206</v>
      </c>
      <c r="C124">
        <v>1</v>
      </c>
      <c r="D124">
        <v>82</v>
      </c>
      <c r="E124" t="s">
        <v>243</v>
      </c>
      <c r="F124" s="5">
        <f>matome[[#This Row],[売上数]]*matome[[#This Row],[単価]]</f>
        <v>82</v>
      </c>
      <c r="M124" s="2"/>
    </row>
    <row r="125" spans="1:13">
      <c r="A125" t="s">
        <v>245</v>
      </c>
      <c r="B125" t="s">
        <v>6</v>
      </c>
      <c r="C125">
        <v>2</v>
      </c>
      <c r="D125">
        <v>51</v>
      </c>
      <c r="E125" t="s">
        <v>246</v>
      </c>
      <c r="F125" s="5">
        <f>matome[[#This Row],[売上数]]*matome[[#This Row],[単価]]</f>
        <v>102</v>
      </c>
      <c r="M125" s="2"/>
    </row>
    <row r="126" spans="1:13">
      <c r="A126" t="s">
        <v>247</v>
      </c>
      <c r="B126" t="s">
        <v>6</v>
      </c>
      <c r="C126">
        <v>1</v>
      </c>
      <c r="D126">
        <v>51</v>
      </c>
      <c r="E126" t="s">
        <v>248</v>
      </c>
      <c r="F126" s="5">
        <f>matome[[#This Row],[売上数]]*matome[[#This Row],[単価]]</f>
        <v>51</v>
      </c>
      <c r="M126" s="2"/>
    </row>
    <row r="127" spans="1:13">
      <c r="A127" t="s">
        <v>249</v>
      </c>
      <c r="B127" t="s">
        <v>35</v>
      </c>
      <c r="C127">
        <v>1</v>
      </c>
      <c r="D127">
        <v>134</v>
      </c>
      <c r="E127" t="s">
        <v>250</v>
      </c>
      <c r="F127" s="5">
        <f>matome[[#This Row],[売上数]]*matome[[#This Row],[単価]]</f>
        <v>134</v>
      </c>
      <c r="M127" s="2"/>
    </row>
    <row r="128" spans="1:13">
      <c r="A128" t="s">
        <v>251</v>
      </c>
      <c r="B128" t="s">
        <v>13</v>
      </c>
      <c r="C128">
        <v>1</v>
      </c>
      <c r="D128">
        <v>82</v>
      </c>
      <c r="E128" t="s">
        <v>252</v>
      </c>
      <c r="F128" s="5">
        <f>matome[[#This Row],[売上数]]*matome[[#This Row],[単価]]</f>
        <v>82</v>
      </c>
      <c r="M128" s="2"/>
    </row>
    <row r="129" spans="1:13">
      <c r="A129" t="s">
        <v>253</v>
      </c>
      <c r="B129" t="s">
        <v>15</v>
      </c>
      <c r="C129">
        <v>1</v>
      </c>
      <c r="D129">
        <v>82</v>
      </c>
      <c r="E129" t="s">
        <v>254</v>
      </c>
      <c r="F129" s="5">
        <f>matome[[#This Row],[売上数]]*matome[[#This Row],[単価]]</f>
        <v>82</v>
      </c>
      <c r="M129" s="2"/>
    </row>
    <row r="130" spans="1:13">
      <c r="A130" t="s">
        <v>255</v>
      </c>
      <c r="B130" t="s">
        <v>206</v>
      </c>
      <c r="C130">
        <v>1</v>
      </c>
      <c r="D130">
        <v>82</v>
      </c>
      <c r="E130" t="s">
        <v>256</v>
      </c>
      <c r="F130" s="5">
        <f>matome[[#This Row],[売上数]]*matome[[#This Row],[単価]]</f>
        <v>82</v>
      </c>
      <c r="M130" s="2"/>
    </row>
    <row r="131" spans="1:13">
      <c r="A131" t="s">
        <v>257</v>
      </c>
      <c r="B131" t="s">
        <v>18</v>
      </c>
      <c r="C131">
        <v>1</v>
      </c>
      <c r="D131">
        <v>60</v>
      </c>
      <c r="E131" t="s">
        <v>256</v>
      </c>
      <c r="F131" s="5">
        <f>matome[[#This Row],[売上数]]*matome[[#This Row],[単価]]</f>
        <v>60</v>
      </c>
      <c r="M131" s="2"/>
    </row>
    <row r="132" spans="1:13">
      <c r="A132" t="s">
        <v>258</v>
      </c>
      <c r="B132" t="s">
        <v>15</v>
      </c>
      <c r="C132">
        <v>1</v>
      </c>
      <c r="D132">
        <v>82</v>
      </c>
      <c r="E132" t="s">
        <v>259</v>
      </c>
      <c r="F132" s="5">
        <f>matome[[#This Row],[売上数]]*matome[[#This Row],[単価]]</f>
        <v>82</v>
      </c>
      <c r="M132" s="2"/>
    </row>
    <row r="133" spans="1:13">
      <c r="A133" t="s">
        <v>260</v>
      </c>
      <c r="B133" t="s">
        <v>46</v>
      </c>
      <c r="C133">
        <v>1</v>
      </c>
      <c r="D133">
        <v>41</v>
      </c>
      <c r="E133" t="s">
        <v>259</v>
      </c>
      <c r="F133" s="5">
        <f>matome[[#This Row],[売上数]]*matome[[#This Row],[単価]]</f>
        <v>41</v>
      </c>
      <c r="M133" s="2"/>
    </row>
    <row r="134" spans="1:13">
      <c r="A134" t="s">
        <v>261</v>
      </c>
      <c r="B134" t="s">
        <v>21</v>
      </c>
      <c r="C134">
        <v>1</v>
      </c>
      <c r="D134">
        <v>185</v>
      </c>
      <c r="E134" t="s">
        <v>262</v>
      </c>
      <c r="F134" s="5">
        <f>matome[[#This Row],[売上数]]*matome[[#This Row],[単価]]</f>
        <v>185</v>
      </c>
      <c r="M134" s="2"/>
    </row>
    <row r="135" spans="1:13">
      <c r="A135" t="s">
        <v>263</v>
      </c>
      <c r="B135" t="s">
        <v>13</v>
      </c>
      <c r="C135">
        <v>1</v>
      </c>
      <c r="D135">
        <v>82</v>
      </c>
      <c r="E135" t="s">
        <v>264</v>
      </c>
      <c r="F135" s="5">
        <f>matome[[#This Row],[売上数]]*matome[[#This Row],[単価]]</f>
        <v>82</v>
      </c>
      <c r="M135" s="2"/>
    </row>
    <row r="136" spans="1:13">
      <c r="A136" t="s">
        <v>265</v>
      </c>
      <c r="B136" t="s">
        <v>15</v>
      </c>
      <c r="C136">
        <v>1</v>
      </c>
      <c r="D136">
        <v>82</v>
      </c>
      <c r="E136" t="s">
        <v>266</v>
      </c>
      <c r="F136" s="5">
        <f>matome[[#This Row],[売上数]]*matome[[#This Row],[単価]]</f>
        <v>82</v>
      </c>
      <c r="M136" s="2"/>
    </row>
    <row r="137" spans="1:13">
      <c r="A137" t="s">
        <v>267</v>
      </c>
      <c r="B137" t="s">
        <v>18</v>
      </c>
      <c r="C137">
        <v>1</v>
      </c>
      <c r="D137">
        <v>60</v>
      </c>
      <c r="E137" t="s">
        <v>268</v>
      </c>
      <c r="F137" s="5">
        <f>matome[[#This Row],[売上数]]*matome[[#This Row],[単価]]</f>
        <v>60</v>
      </c>
      <c r="M137" s="2"/>
    </row>
    <row r="138" spans="1:13">
      <c r="A138" t="s">
        <v>269</v>
      </c>
      <c r="B138" t="s">
        <v>49</v>
      </c>
      <c r="C138">
        <v>1</v>
      </c>
      <c r="D138">
        <v>62</v>
      </c>
      <c r="E138" t="s">
        <v>268</v>
      </c>
      <c r="F138" s="5">
        <f>matome[[#This Row],[売上数]]*matome[[#This Row],[単価]]</f>
        <v>62</v>
      </c>
      <c r="M138" s="2"/>
    </row>
    <row r="139" spans="1:13">
      <c r="A139" t="s">
        <v>270</v>
      </c>
      <c r="B139" t="s">
        <v>271</v>
      </c>
      <c r="C139">
        <v>1</v>
      </c>
      <c r="D139">
        <v>113</v>
      </c>
      <c r="E139" t="s">
        <v>272</v>
      </c>
      <c r="F139" s="5">
        <f>matome[[#This Row],[売上数]]*matome[[#This Row],[単価]]</f>
        <v>113</v>
      </c>
      <c r="M139" s="2"/>
    </row>
    <row r="140" spans="1:13">
      <c r="A140" t="s">
        <v>273</v>
      </c>
      <c r="B140" t="s">
        <v>271</v>
      </c>
      <c r="C140">
        <v>1</v>
      </c>
      <c r="D140">
        <v>113</v>
      </c>
      <c r="E140" t="s">
        <v>272</v>
      </c>
      <c r="F140" s="5">
        <f>matome[[#This Row],[売上数]]*matome[[#This Row],[単価]]</f>
        <v>113</v>
      </c>
      <c r="M140" s="2"/>
    </row>
    <row r="141" spans="1:13">
      <c r="A141" t="s">
        <v>274</v>
      </c>
      <c r="B141" t="s">
        <v>11</v>
      </c>
      <c r="C141">
        <v>1</v>
      </c>
      <c r="D141">
        <v>41</v>
      </c>
      <c r="E141" t="s">
        <v>275</v>
      </c>
      <c r="F141" s="5">
        <f>matome[[#This Row],[売上数]]*matome[[#This Row],[単価]]</f>
        <v>41</v>
      </c>
      <c r="M141" s="2"/>
    </row>
    <row r="142" spans="1:13">
      <c r="A142" t="s">
        <v>276</v>
      </c>
      <c r="B142" t="s">
        <v>277</v>
      </c>
      <c r="C142">
        <v>1</v>
      </c>
      <c r="D142">
        <v>123</v>
      </c>
      <c r="E142" t="s">
        <v>278</v>
      </c>
      <c r="F142" s="5">
        <f>matome[[#This Row],[売上数]]*matome[[#This Row],[単価]]</f>
        <v>123</v>
      </c>
      <c r="M142" s="2"/>
    </row>
    <row r="143" spans="1:13">
      <c r="A143" t="s">
        <v>279</v>
      </c>
      <c r="B143" t="s">
        <v>280</v>
      </c>
      <c r="C143">
        <v>1</v>
      </c>
      <c r="D143">
        <v>123</v>
      </c>
      <c r="E143" t="s">
        <v>278</v>
      </c>
      <c r="F143" s="5">
        <f>matome[[#This Row],[売上数]]*matome[[#This Row],[単価]]</f>
        <v>123</v>
      </c>
      <c r="M143" s="2"/>
    </row>
    <row r="144" spans="1:13">
      <c r="A144" t="s">
        <v>281</v>
      </c>
      <c r="B144" t="s">
        <v>277</v>
      </c>
      <c r="C144">
        <v>1</v>
      </c>
      <c r="D144">
        <v>123</v>
      </c>
      <c r="E144" t="s">
        <v>282</v>
      </c>
      <c r="F144" s="5">
        <f>matome[[#This Row],[売上数]]*matome[[#This Row],[単価]]</f>
        <v>123</v>
      </c>
      <c r="M144" s="2"/>
    </row>
    <row r="145" spans="1:13">
      <c r="A145" t="s">
        <v>283</v>
      </c>
      <c r="B145" t="s">
        <v>206</v>
      </c>
      <c r="C145">
        <v>1</v>
      </c>
      <c r="D145">
        <v>82</v>
      </c>
      <c r="E145" t="s">
        <v>284</v>
      </c>
      <c r="F145" s="5">
        <f>matome[[#This Row],[売上数]]*matome[[#This Row],[単価]]</f>
        <v>82</v>
      </c>
      <c r="M145" s="2"/>
    </row>
    <row r="146" spans="1:13">
      <c r="A146" t="s">
        <v>285</v>
      </c>
      <c r="B146" t="s">
        <v>6</v>
      </c>
      <c r="C146">
        <v>1</v>
      </c>
      <c r="D146">
        <v>51</v>
      </c>
      <c r="E146" t="s">
        <v>286</v>
      </c>
      <c r="F146" s="5">
        <f>matome[[#This Row],[売上数]]*matome[[#This Row],[単価]]</f>
        <v>51</v>
      </c>
      <c r="M146" s="2"/>
    </row>
    <row r="147" spans="1:13">
      <c r="A147" t="s">
        <v>287</v>
      </c>
      <c r="B147" t="s">
        <v>6</v>
      </c>
      <c r="C147">
        <v>1</v>
      </c>
      <c r="D147">
        <v>51</v>
      </c>
      <c r="E147" t="s">
        <v>288</v>
      </c>
      <c r="F147" s="5">
        <f>matome[[#This Row],[売上数]]*matome[[#This Row],[単価]]</f>
        <v>51</v>
      </c>
      <c r="M147" s="2"/>
    </row>
    <row r="148" spans="1:13">
      <c r="A148" t="s">
        <v>289</v>
      </c>
      <c r="B148" t="s">
        <v>15</v>
      </c>
      <c r="C148">
        <v>1</v>
      </c>
      <c r="D148">
        <v>82</v>
      </c>
      <c r="E148" t="s">
        <v>290</v>
      </c>
      <c r="F148" s="5">
        <f>matome[[#This Row],[売上数]]*matome[[#This Row],[単価]]</f>
        <v>82</v>
      </c>
      <c r="M148" s="2"/>
    </row>
    <row r="149" spans="1:13">
      <c r="A149" t="s">
        <v>291</v>
      </c>
      <c r="B149" t="s">
        <v>292</v>
      </c>
      <c r="C149">
        <v>1</v>
      </c>
      <c r="D149">
        <v>123</v>
      </c>
      <c r="E149" t="s">
        <v>293</v>
      </c>
      <c r="F149" s="5">
        <f>matome[[#This Row],[売上数]]*matome[[#This Row],[単価]]</f>
        <v>123</v>
      </c>
      <c r="M149" s="2"/>
    </row>
    <row r="150" spans="1:13">
      <c r="A150" t="s">
        <v>294</v>
      </c>
      <c r="B150" t="s">
        <v>46</v>
      </c>
      <c r="C150">
        <v>1</v>
      </c>
      <c r="D150">
        <v>41</v>
      </c>
      <c r="E150" t="s">
        <v>295</v>
      </c>
      <c r="F150" s="5">
        <f>matome[[#This Row],[売上数]]*matome[[#This Row],[単価]]</f>
        <v>41</v>
      </c>
      <c r="M150" s="2"/>
    </row>
    <row r="151" spans="1:13">
      <c r="A151" t="s">
        <v>296</v>
      </c>
      <c r="B151" t="s">
        <v>13</v>
      </c>
      <c r="C151">
        <v>1</v>
      </c>
      <c r="D151">
        <v>82</v>
      </c>
      <c r="E151" t="s">
        <v>295</v>
      </c>
      <c r="F151" s="5">
        <f>matome[[#This Row],[売上数]]*matome[[#This Row],[単価]]</f>
        <v>82</v>
      </c>
      <c r="M151" s="2"/>
    </row>
    <row r="152" spans="1:13">
      <c r="A152" t="s">
        <v>297</v>
      </c>
      <c r="B152" t="s">
        <v>206</v>
      </c>
      <c r="C152">
        <v>1</v>
      </c>
      <c r="D152">
        <v>82</v>
      </c>
      <c r="E152" t="s">
        <v>298</v>
      </c>
      <c r="F152" s="5">
        <f>matome[[#This Row],[売上数]]*matome[[#This Row],[単価]]</f>
        <v>82</v>
      </c>
      <c r="M152" s="2"/>
    </row>
    <row r="153" spans="1:13">
      <c r="A153" t="s">
        <v>299</v>
      </c>
      <c r="B153" t="s">
        <v>6</v>
      </c>
      <c r="C153">
        <v>1</v>
      </c>
      <c r="D153">
        <v>51</v>
      </c>
      <c r="E153" t="s">
        <v>298</v>
      </c>
      <c r="F153" s="5">
        <f>matome[[#This Row],[売上数]]*matome[[#This Row],[単価]]</f>
        <v>51</v>
      </c>
      <c r="M153" s="2"/>
    </row>
    <row r="154" spans="1:13">
      <c r="A154" t="s">
        <v>300</v>
      </c>
      <c r="B154" t="s">
        <v>13</v>
      </c>
      <c r="C154">
        <v>1</v>
      </c>
      <c r="D154">
        <v>82</v>
      </c>
      <c r="E154" t="s">
        <v>301</v>
      </c>
      <c r="F154" s="5">
        <f>matome[[#This Row],[売上数]]*matome[[#This Row],[単価]]</f>
        <v>82</v>
      </c>
      <c r="M154" s="2"/>
    </row>
    <row r="155" spans="1:13">
      <c r="A155" t="s">
        <v>302</v>
      </c>
      <c r="B155" t="s">
        <v>271</v>
      </c>
      <c r="C155">
        <v>1</v>
      </c>
      <c r="D155">
        <v>113</v>
      </c>
      <c r="E155" t="s">
        <v>301</v>
      </c>
      <c r="F155" s="5">
        <f>matome[[#This Row],[売上数]]*matome[[#This Row],[単価]]</f>
        <v>113</v>
      </c>
      <c r="M155" s="2"/>
    </row>
    <row r="156" spans="1:13">
      <c r="A156" t="s">
        <v>303</v>
      </c>
      <c r="B156" t="s">
        <v>18</v>
      </c>
      <c r="C156">
        <v>1</v>
      </c>
      <c r="D156">
        <v>60</v>
      </c>
      <c r="E156" t="s">
        <v>304</v>
      </c>
      <c r="F156" s="5">
        <f>matome[[#This Row],[売上数]]*matome[[#This Row],[単価]]</f>
        <v>60</v>
      </c>
      <c r="M156" s="2"/>
    </row>
    <row r="157" spans="1:13">
      <c r="A157" t="s">
        <v>305</v>
      </c>
      <c r="B157" t="s">
        <v>6</v>
      </c>
      <c r="C157">
        <v>1</v>
      </c>
      <c r="D157">
        <v>51</v>
      </c>
      <c r="E157" t="s">
        <v>306</v>
      </c>
      <c r="F157" s="5">
        <f>matome[[#This Row],[売上数]]*matome[[#This Row],[単価]]</f>
        <v>51</v>
      </c>
      <c r="M157" s="2"/>
    </row>
    <row r="158" spans="1:13">
      <c r="A158" t="s">
        <v>307</v>
      </c>
      <c r="B158" t="s">
        <v>49</v>
      </c>
      <c r="C158">
        <v>1</v>
      </c>
      <c r="D158">
        <v>62</v>
      </c>
      <c r="E158" t="s">
        <v>306</v>
      </c>
      <c r="F158" s="5">
        <f>matome[[#This Row],[売上数]]*matome[[#This Row],[単価]]</f>
        <v>62</v>
      </c>
      <c r="M158" s="2"/>
    </row>
    <row r="159" spans="1:13">
      <c r="A159" t="s">
        <v>308</v>
      </c>
      <c r="B159" t="s">
        <v>13</v>
      </c>
      <c r="C159">
        <v>1</v>
      </c>
      <c r="D159">
        <v>82</v>
      </c>
      <c r="E159" t="s">
        <v>309</v>
      </c>
      <c r="F159" s="5">
        <f>matome[[#This Row],[売上数]]*matome[[#This Row],[単価]]</f>
        <v>82</v>
      </c>
      <c r="M159" s="2"/>
    </row>
    <row r="160" spans="1:13">
      <c r="A160" t="s">
        <v>310</v>
      </c>
      <c r="B160" t="s">
        <v>46</v>
      </c>
      <c r="C160">
        <v>1</v>
      </c>
      <c r="D160">
        <v>41</v>
      </c>
      <c r="E160" t="s">
        <v>309</v>
      </c>
      <c r="F160" s="5">
        <f>matome[[#This Row],[売上数]]*matome[[#This Row],[単価]]</f>
        <v>41</v>
      </c>
      <c r="M160" s="2"/>
    </row>
    <row r="161" spans="1:13">
      <c r="A161" t="s">
        <v>311</v>
      </c>
      <c r="B161" t="s">
        <v>15</v>
      </c>
      <c r="C161">
        <v>1</v>
      </c>
      <c r="D161">
        <v>82</v>
      </c>
      <c r="E161" t="s">
        <v>312</v>
      </c>
      <c r="F161" s="5">
        <f>matome[[#This Row],[売上数]]*matome[[#This Row],[単価]]</f>
        <v>82</v>
      </c>
      <c r="M161" s="2"/>
    </row>
    <row r="162" spans="1:13">
      <c r="A162" t="s">
        <v>313</v>
      </c>
      <c r="B162" t="s">
        <v>13</v>
      </c>
      <c r="C162">
        <v>1</v>
      </c>
      <c r="D162">
        <v>82</v>
      </c>
      <c r="E162" t="s">
        <v>314</v>
      </c>
      <c r="F162" s="5">
        <f>matome[[#This Row],[売上数]]*matome[[#This Row],[単価]]</f>
        <v>82</v>
      </c>
      <c r="M162" s="2"/>
    </row>
    <row r="163" spans="1:13">
      <c r="A163" t="s">
        <v>315</v>
      </c>
      <c r="B163" t="s">
        <v>6</v>
      </c>
      <c r="C163">
        <v>1</v>
      </c>
      <c r="D163">
        <v>51</v>
      </c>
      <c r="E163" t="s">
        <v>314</v>
      </c>
      <c r="F163" s="5">
        <f>matome[[#This Row],[売上数]]*matome[[#This Row],[単価]]</f>
        <v>51</v>
      </c>
      <c r="M163" s="2"/>
    </row>
    <row r="164" spans="1:13">
      <c r="A164" t="s">
        <v>316</v>
      </c>
      <c r="B164" t="s">
        <v>128</v>
      </c>
      <c r="C164">
        <v>1</v>
      </c>
      <c r="D164">
        <v>185</v>
      </c>
      <c r="E164" t="s">
        <v>317</v>
      </c>
      <c r="F164" s="5">
        <f>matome[[#This Row],[売上数]]*matome[[#This Row],[単価]]</f>
        <v>185</v>
      </c>
      <c r="M164" s="2"/>
    </row>
    <row r="165" spans="1:13">
      <c r="A165" t="s">
        <v>318</v>
      </c>
      <c r="B165" t="s">
        <v>96</v>
      </c>
      <c r="C165">
        <v>1</v>
      </c>
      <c r="D165">
        <v>288</v>
      </c>
      <c r="E165" t="s">
        <v>317</v>
      </c>
      <c r="F165" s="5">
        <f>matome[[#This Row],[売上数]]*matome[[#This Row],[単価]]</f>
        <v>288</v>
      </c>
      <c r="M165" s="2"/>
    </row>
    <row r="166" spans="1:13">
      <c r="A166" t="s">
        <v>319</v>
      </c>
      <c r="B166" t="s">
        <v>35</v>
      </c>
      <c r="C166">
        <v>1</v>
      </c>
      <c r="D166">
        <v>134</v>
      </c>
      <c r="E166" t="s">
        <v>320</v>
      </c>
      <c r="F166" s="5">
        <f>matome[[#This Row],[売上数]]*matome[[#This Row],[単価]]</f>
        <v>134</v>
      </c>
      <c r="M166" s="2"/>
    </row>
    <row r="167" spans="1:13">
      <c r="A167" t="s">
        <v>321</v>
      </c>
      <c r="B167" t="s">
        <v>18</v>
      </c>
      <c r="C167">
        <v>2</v>
      </c>
      <c r="D167">
        <v>60</v>
      </c>
      <c r="E167" t="s">
        <v>322</v>
      </c>
      <c r="F167" s="5">
        <f>matome[[#This Row],[売上数]]*matome[[#This Row],[単価]]</f>
        <v>120</v>
      </c>
      <c r="M167" s="2"/>
    </row>
    <row r="168" spans="1:13">
      <c r="A168" t="s">
        <v>323</v>
      </c>
      <c r="B168" t="s">
        <v>18</v>
      </c>
      <c r="C168">
        <v>1</v>
      </c>
      <c r="D168">
        <v>60</v>
      </c>
      <c r="E168" t="s">
        <v>324</v>
      </c>
      <c r="F168" s="5">
        <f>matome[[#This Row],[売上数]]*matome[[#This Row],[単価]]</f>
        <v>60</v>
      </c>
      <c r="M168" s="2"/>
    </row>
    <row r="169" spans="1:13">
      <c r="A169" t="s">
        <v>325</v>
      </c>
      <c r="B169" t="s">
        <v>96</v>
      </c>
      <c r="C169">
        <v>1</v>
      </c>
      <c r="D169">
        <v>288</v>
      </c>
      <c r="E169" t="s">
        <v>326</v>
      </c>
      <c r="F169" s="5">
        <f>matome[[#This Row],[売上数]]*matome[[#This Row],[単価]]</f>
        <v>288</v>
      </c>
      <c r="M169" s="2"/>
    </row>
    <row r="170" spans="1:13">
      <c r="A170" t="s">
        <v>327</v>
      </c>
      <c r="B170" t="s">
        <v>6</v>
      </c>
      <c r="C170">
        <v>1</v>
      </c>
      <c r="D170">
        <v>51</v>
      </c>
      <c r="E170" t="s">
        <v>328</v>
      </c>
      <c r="F170" s="5">
        <f>matome[[#This Row],[売上数]]*matome[[#This Row],[単価]]</f>
        <v>51</v>
      </c>
      <c r="M170" s="2"/>
    </row>
    <row r="171" spans="1:13">
      <c r="A171" t="s">
        <v>329</v>
      </c>
      <c r="B171" t="s">
        <v>330</v>
      </c>
      <c r="C171">
        <v>1</v>
      </c>
      <c r="D171">
        <v>113</v>
      </c>
      <c r="E171" t="s">
        <v>331</v>
      </c>
      <c r="F171" s="5">
        <f>matome[[#This Row],[売上数]]*matome[[#This Row],[単価]]</f>
        <v>113</v>
      </c>
      <c r="M171" s="2"/>
    </row>
    <row r="172" spans="1:13">
      <c r="A172" t="s">
        <v>332</v>
      </c>
      <c r="B172" t="s">
        <v>13</v>
      </c>
      <c r="C172">
        <v>1</v>
      </c>
      <c r="D172">
        <v>82</v>
      </c>
      <c r="E172" t="s">
        <v>331</v>
      </c>
      <c r="F172" s="5">
        <f>matome[[#This Row],[売上数]]*matome[[#This Row],[単価]]</f>
        <v>82</v>
      </c>
      <c r="M172" s="2"/>
    </row>
    <row r="173" spans="1:13">
      <c r="A173" t="s">
        <v>333</v>
      </c>
      <c r="B173" t="s">
        <v>35</v>
      </c>
      <c r="C173">
        <v>1</v>
      </c>
      <c r="D173">
        <v>134</v>
      </c>
      <c r="E173" t="s">
        <v>334</v>
      </c>
      <c r="F173" s="5">
        <f>matome[[#This Row],[売上数]]*matome[[#This Row],[単価]]</f>
        <v>134</v>
      </c>
      <c r="M173" s="2"/>
    </row>
    <row r="174" spans="1:13">
      <c r="A174" t="s">
        <v>335</v>
      </c>
      <c r="B174" t="s">
        <v>18</v>
      </c>
      <c r="C174">
        <v>1</v>
      </c>
      <c r="D174">
        <v>60</v>
      </c>
      <c r="E174" t="s">
        <v>336</v>
      </c>
      <c r="F174" s="5">
        <f>matome[[#This Row],[売上数]]*matome[[#This Row],[単価]]</f>
        <v>60</v>
      </c>
      <c r="M174" s="2"/>
    </row>
    <row r="175" spans="1:13">
      <c r="A175" t="s">
        <v>337</v>
      </c>
      <c r="B175" t="s">
        <v>13</v>
      </c>
      <c r="C175">
        <v>1</v>
      </c>
      <c r="D175">
        <v>82</v>
      </c>
      <c r="E175" t="s">
        <v>338</v>
      </c>
      <c r="F175" s="5">
        <f>matome[[#This Row],[売上数]]*matome[[#This Row],[単価]]</f>
        <v>82</v>
      </c>
      <c r="M175" s="2"/>
    </row>
    <row r="176" spans="1:13">
      <c r="A176" t="s">
        <v>339</v>
      </c>
      <c r="B176" t="s">
        <v>280</v>
      </c>
      <c r="C176">
        <v>1</v>
      </c>
      <c r="D176">
        <v>123</v>
      </c>
      <c r="E176" t="s">
        <v>340</v>
      </c>
      <c r="F176" s="5">
        <f>matome[[#This Row],[売上数]]*matome[[#This Row],[単価]]</f>
        <v>123</v>
      </c>
      <c r="M176" s="2"/>
    </row>
    <row r="177" spans="1:13">
      <c r="A177" t="s">
        <v>341</v>
      </c>
      <c r="B177" t="s">
        <v>271</v>
      </c>
      <c r="C177">
        <v>1</v>
      </c>
      <c r="D177">
        <v>113</v>
      </c>
      <c r="E177" t="s">
        <v>342</v>
      </c>
      <c r="F177" s="5">
        <f>matome[[#This Row],[売上数]]*matome[[#This Row],[単価]]</f>
        <v>113</v>
      </c>
      <c r="M177" s="2"/>
    </row>
    <row r="178" spans="1:13">
      <c r="A178" t="s">
        <v>343</v>
      </c>
      <c r="B178" t="s">
        <v>6</v>
      </c>
      <c r="C178">
        <v>1</v>
      </c>
      <c r="D178">
        <v>51</v>
      </c>
      <c r="E178" t="s">
        <v>344</v>
      </c>
      <c r="F178" s="5">
        <f>matome[[#This Row],[売上数]]*matome[[#This Row],[単価]]</f>
        <v>51</v>
      </c>
      <c r="M178" s="2"/>
    </row>
    <row r="179" spans="1:13">
      <c r="A179" t="s">
        <v>345</v>
      </c>
      <c r="B179" t="s">
        <v>18</v>
      </c>
      <c r="C179">
        <v>1</v>
      </c>
      <c r="D179">
        <v>60</v>
      </c>
      <c r="E179" t="s">
        <v>346</v>
      </c>
      <c r="F179" s="5">
        <f>matome[[#This Row],[売上数]]*matome[[#This Row],[単価]]</f>
        <v>60</v>
      </c>
      <c r="M179" s="2"/>
    </row>
    <row r="180" spans="1:13">
      <c r="A180" t="s">
        <v>347</v>
      </c>
      <c r="B180" t="s">
        <v>271</v>
      </c>
      <c r="C180">
        <v>1</v>
      </c>
      <c r="D180">
        <v>113</v>
      </c>
      <c r="E180" t="s">
        <v>348</v>
      </c>
      <c r="F180" s="5">
        <f>matome[[#This Row],[売上数]]*matome[[#This Row],[単価]]</f>
        <v>113</v>
      </c>
      <c r="M180" s="2"/>
    </row>
    <row r="181" spans="1:13">
      <c r="A181" t="s">
        <v>349</v>
      </c>
      <c r="B181" t="s">
        <v>15</v>
      </c>
      <c r="C181">
        <v>1</v>
      </c>
      <c r="D181">
        <v>82</v>
      </c>
      <c r="E181" t="s">
        <v>348</v>
      </c>
      <c r="F181" s="5">
        <f>matome[[#This Row],[売上数]]*matome[[#This Row],[単価]]</f>
        <v>82</v>
      </c>
      <c r="M181" s="2"/>
    </row>
    <row r="182" spans="1:13">
      <c r="A182" t="s">
        <v>350</v>
      </c>
      <c r="B182" t="s">
        <v>35</v>
      </c>
      <c r="C182">
        <v>1</v>
      </c>
      <c r="D182">
        <v>134</v>
      </c>
      <c r="E182" t="s">
        <v>351</v>
      </c>
      <c r="F182" s="5">
        <f>matome[[#This Row],[売上数]]*matome[[#This Row],[単価]]</f>
        <v>134</v>
      </c>
      <c r="M182" s="2"/>
    </row>
    <row r="183" spans="1:13">
      <c r="A183" t="s">
        <v>352</v>
      </c>
      <c r="B183" t="s">
        <v>46</v>
      </c>
      <c r="C183">
        <v>1</v>
      </c>
      <c r="D183">
        <v>41</v>
      </c>
      <c r="E183" t="s">
        <v>351</v>
      </c>
      <c r="F183" s="5">
        <f>matome[[#This Row],[売上数]]*matome[[#This Row],[単価]]</f>
        <v>41</v>
      </c>
      <c r="M183" s="2"/>
    </row>
    <row r="184" spans="1:13">
      <c r="A184" t="s">
        <v>353</v>
      </c>
      <c r="B184" t="s">
        <v>330</v>
      </c>
      <c r="C184">
        <v>1</v>
      </c>
      <c r="D184">
        <v>113</v>
      </c>
      <c r="E184" t="s">
        <v>354</v>
      </c>
      <c r="F184" s="5">
        <f>matome[[#This Row],[売上数]]*matome[[#This Row],[単価]]</f>
        <v>113</v>
      </c>
      <c r="M184" s="2"/>
    </row>
    <row r="185" spans="1:13">
      <c r="A185" t="s">
        <v>355</v>
      </c>
      <c r="B185" t="s">
        <v>280</v>
      </c>
      <c r="C185">
        <v>1</v>
      </c>
      <c r="D185">
        <v>123</v>
      </c>
      <c r="E185" t="s">
        <v>356</v>
      </c>
      <c r="F185" s="5">
        <f>matome[[#This Row],[売上数]]*matome[[#This Row],[単価]]</f>
        <v>123</v>
      </c>
      <c r="M185" s="2"/>
    </row>
    <row r="186" spans="1:13">
      <c r="A186" t="s">
        <v>357</v>
      </c>
      <c r="B186" t="s">
        <v>277</v>
      </c>
      <c r="C186">
        <v>1</v>
      </c>
      <c r="D186">
        <v>123</v>
      </c>
      <c r="E186" t="s">
        <v>358</v>
      </c>
      <c r="F186" s="5">
        <f>matome[[#This Row],[売上数]]*matome[[#This Row],[単価]]</f>
        <v>123</v>
      </c>
      <c r="M186" s="2"/>
    </row>
    <row r="187" spans="1:13">
      <c r="A187" t="s">
        <v>359</v>
      </c>
      <c r="B187" t="s">
        <v>292</v>
      </c>
      <c r="C187">
        <v>1</v>
      </c>
      <c r="D187">
        <v>123</v>
      </c>
      <c r="E187" t="s">
        <v>360</v>
      </c>
      <c r="F187" s="5">
        <f>matome[[#This Row],[売上数]]*matome[[#This Row],[単価]]</f>
        <v>123</v>
      </c>
      <c r="M187" s="2"/>
    </row>
    <row r="188" spans="1:13">
      <c r="A188" t="s">
        <v>361</v>
      </c>
      <c r="B188" t="s">
        <v>35</v>
      </c>
      <c r="C188">
        <v>1</v>
      </c>
      <c r="D188">
        <v>134</v>
      </c>
      <c r="E188" t="s">
        <v>362</v>
      </c>
      <c r="F188" s="5">
        <f>matome[[#This Row],[売上数]]*matome[[#This Row],[単価]]</f>
        <v>134</v>
      </c>
      <c r="M188" s="2"/>
    </row>
    <row r="189" spans="1:13">
      <c r="A189" t="s">
        <v>363</v>
      </c>
      <c r="B189" t="s">
        <v>15</v>
      </c>
      <c r="C189">
        <v>1</v>
      </c>
      <c r="D189">
        <v>82</v>
      </c>
      <c r="E189" t="s">
        <v>364</v>
      </c>
      <c r="F189" s="5">
        <f>matome[[#This Row],[売上数]]*matome[[#This Row],[単価]]</f>
        <v>82</v>
      </c>
      <c r="M189" s="2"/>
    </row>
    <row r="190" spans="1:13">
      <c r="A190" t="s">
        <v>365</v>
      </c>
      <c r="B190" t="s">
        <v>13</v>
      </c>
      <c r="C190">
        <v>1</v>
      </c>
      <c r="D190">
        <v>82</v>
      </c>
      <c r="E190" t="s">
        <v>366</v>
      </c>
      <c r="F190" s="5">
        <f>matome[[#This Row],[売上数]]*matome[[#This Row],[単価]]</f>
        <v>82</v>
      </c>
      <c r="M190" s="2"/>
    </row>
    <row r="191" spans="1:13">
      <c r="A191" t="s">
        <v>367</v>
      </c>
      <c r="B191" t="s">
        <v>13</v>
      </c>
      <c r="C191">
        <v>1</v>
      </c>
      <c r="D191">
        <v>82</v>
      </c>
      <c r="E191" t="s">
        <v>368</v>
      </c>
      <c r="F191" s="5">
        <f>matome[[#This Row],[売上数]]*matome[[#This Row],[単価]]</f>
        <v>82</v>
      </c>
      <c r="M191" s="2"/>
    </row>
    <row r="192" spans="1:13">
      <c r="A192" t="s">
        <v>369</v>
      </c>
      <c r="B192" t="s">
        <v>13</v>
      </c>
      <c r="C192">
        <v>1</v>
      </c>
      <c r="D192">
        <v>82</v>
      </c>
      <c r="E192" t="s">
        <v>370</v>
      </c>
      <c r="F192" s="5">
        <f>matome[[#This Row],[売上数]]*matome[[#This Row],[単価]]</f>
        <v>82</v>
      </c>
      <c r="M192" s="2"/>
    </row>
    <row r="193" spans="1:13">
      <c r="A193" t="s">
        <v>371</v>
      </c>
      <c r="B193" t="s">
        <v>15</v>
      </c>
      <c r="C193">
        <v>1</v>
      </c>
      <c r="D193">
        <v>82</v>
      </c>
      <c r="E193" t="s">
        <v>372</v>
      </c>
      <c r="F193" s="5">
        <f>matome[[#This Row],[売上数]]*matome[[#This Row],[単価]]</f>
        <v>82</v>
      </c>
      <c r="M193" s="2"/>
    </row>
    <row r="194" spans="1:13">
      <c r="A194" t="s">
        <v>373</v>
      </c>
      <c r="B194" t="s">
        <v>18</v>
      </c>
      <c r="C194">
        <v>1</v>
      </c>
      <c r="D194">
        <v>60</v>
      </c>
      <c r="E194" t="s">
        <v>374</v>
      </c>
      <c r="F194" s="5">
        <f>matome[[#This Row],[売上数]]*matome[[#This Row],[単価]]</f>
        <v>60</v>
      </c>
      <c r="M194" s="2"/>
    </row>
    <row r="195" spans="1:13">
      <c r="A195" t="s">
        <v>375</v>
      </c>
      <c r="B195" t="s">
        <v>18</v>
      </c>
      <c r="C195">
        <v>1</v>
      </c>
      <c r="D195">
        <v>60</v>
      </c>
      <c r="E195" t="s">
        <v>376</v>
      </c>
      <c r="F195" s="5">
        <f>matome[[#This Row],[売上数]]*matome[[#This Row],[単価]]</f>
        <v>60</v>
      </c>
      <c r="M195" s="2"/>
    </row>
    <row r="196" spans="1:13">
      <c r="A196" t="s">
        <v>377</v>
      </c>
      <c r="B196" t="s">
        <v>280</v>
      </c>
      <c r="C196">
        <v>1</v>
      </c>
      <c r="D196">
        <v>123</v>
      </c>
      <c r="E196" t="s">
        <v>378</v>
      </c>
      <c r="F196" s="5">
        <f>matome[[#This Row],[売上数]]*matome[[#This Row],[単価]]</f>
        <v>123</v>
      </c>
      <c r="M196" s="2"/>
    </row>
    <row r="197" spans="1:13">
      <c r="A197" t="s">
        <v>379</v>
      </c>
      <c r="B197" t="s">
        <v>13</v>
      </c>
      <c r="C197">
        <v>1</v>
      </c>
      <c r="D197">
        <v>82</v>
      </c>
      <c r="E197" t="s">
        <v>380</v>
      </c>
      <c r="F197" s="5">
        <f>matome[[#This Row],[売上数]]*matome[[#This Row],[単価]]</f>
        <v>82</v>
      </c>
      <c r="M197" s="2"/>
    </row>
    <row r="198" spans="1:13">
      <c r="A198" t="s">
        <v>381</v>
      </c>
      <c r="B198" t="s">
        <v>18</v>
      </c>
      <c r="C198">
        <v>1</v>
      </c>
      <c r="D198">
        <v>60</v>
      </c>
      <c r="E198" t="s">
        <v>382</v>
      </c>
      <c r="F198" s="5">
        <f>matome[[#This Row],[売上数]]*matome[[#This Row],[単価]]</f>
        <v>60</v>
      </c>
      <c r="M198" s="2"/>
    </row>
    <row r="199" spans="1:13">
      <c r="A199" t="s">
        <v>383</v>
      </c>
      <c r="B199" t="s">
        <v>277</v>
      </c>
      <c r="C199">
        <v>1</v>
      </c>
      <c r="D199">
        <v>123</v>
      </c>
      <c r="E199" t="s">
        <v>384</v>
      </c>
      <c r="F199" s="5">
        <f>matome[[#This Row],[売上数]]*matome[[#This Row],[単価]]</f>
        <v>123</v>
      </c>
      <c r="M199" s="2"/>
    </row>
    <row r="200" spans="1:13">
      <c r="A200" t="s">
        <v>385</v>
      </c>
      <c r="B200" t="s">
        <v>32</v>
      </c>
      <c r="C200">
        <v>1</v>
      </c>
      <c r="D200">
        <v>201</v>
      </c>
      <c r="E200" t="s">
        <v>386</v>
      </c>
      <c r="F200" s="5">
        <f>matome[[#This Row],[売上数]]*matome[[#This Row],[単価]]</f>
        <v>201</v>
      </c>
      <c r="M200" s="2"/>
    </row>
    <row r="201" spans="1:13">
      <c r="A201" t="s">
        <v>387</v>
      </c>
      <c r="B201" t="s">
        <v>49</v>
      </c>
      <c r="C201">
        <v>1</v>
      </c>
      <c r="D201">
        <v>62</v>
      </c>
      <c r="E201" t="s">
        <v>388</v>
      </c>
      <c r="F201" s="5">
        <f>matome[[#This Row],[売上数]]*matome[[#This Row],[単価]]</f>
        <v>62</v>
      </c>
      <c r="M201" s="2"/>
    </row>
    <row r="202" spans="1:13">
      <c r="A202" t="s">
        <v>389</v>
      </c>
      <c r="B202" t="s">
        <v>271</v>
      </c>
      <c r="C202">
        <v>1</v>
      </c>
      <c r="D202">
        <v>113</v>
      </c>
      <c r="E202" t="s">
        <v>388</v>
      </c>
      <c r="F202" s="5">
        <f>matome[[#This Row],[売上数]]*matome[[#This Row],[単価]]</f>
        <v>113</v>
      </c>
      <c r="M202" s="2"/>
    </row>
    <row r="203" spans="1:13">
      <c r="A203" t="s">
        <v>390</v>
      </c>
      <c r="B203" t="s">
        <v>18</v>
      </c>
      <c r="C203">
        <v>1</v>
      </c>
      <c r="D203">
        <v>60</v>
      </c>
      <c r="E203" t="s">
        <v>391</v>
      </c>
      <c r="F203" s="5">
        <f>matome[[#This Row],[売上数]]*matome[[#This Row],[単価]]</f>
        <v>60</v>
      </c>
      <c r="M203" s="2"/>
    </row>
    <row r="204" spans="1:13">
      <c r="A204" t="s">
        <v>392</v>
      </c>
      <c r="B204" t="s">
        <v>6</v>
      </c>
      <c r="C204">
        <v>1</v>
      </c>
      <c r="D204">
        <v>51</v>
      </c>
      <c r="E204" t="s">
        <v>393</v>
      </c>
      <c r="F204" s="5">
        <f>matome[[#This Row],[売上数]]*matome[[#This Row],[単価]]</f>
        <v>51</v>
      </c>
      <c r="M204" s="2"/>
    </row>
    <row r="205" spans="1:13">
      <c r="A205" t="s">
        <v>394</v>
      </c>
      <c r="B205" t="s">
        <v>128</v>
      </c>
      <c r="C205">
        <v>1</v>
      </c>
      <c r="D205">
        <v>185</v>
      </c>
      <c r="E205" t="s">
        <v>395</v>
      </c>
      <c r="F205" s="5">
        <f>matome[[#This Row],[売上数]]*matome[[#This Row],[単価]]</f>
        <v>185</v>
      </c>
      <c r="M205" s="2"/>
    </row>
    <row r="206" spans="1:13">
      <c r="A206" t="s">
        <v>396</v>
      </c>
      <c r="B206" t="s">
        <v>13</v>
      </c>
      <c r="C206">
        <v>1</v>
      </c>
      <c r="D206">
        <v>82</v>
      </c>
      <c r="E206" t="s">
        <v>397</v>
      </c>
      <c r="F206" s="5">
        <f>matome[[#This Row],[売上数]]*matome[[#This Row],[単価]]</f>
        <v>82</v>
      </c>
      <c r="M206" s="2"/>
    </row>
    <row r="207" spans="1:13">
      <c r="A207" t="s">
        <v>398</v>
      </c>
      <c r="B207" t="s">
        <v>271</v>
      </c>
      <c r="C207">
        <v>1</v>
      </c>
      <c r="D207">
        <v>113</v>
      </c>
      <c r="E207" t="s">
        <v>397</v>
      </c>
      <c r="F207" s="5">
        <f>matome[[#This Row],[売上数]]*matome[[#This Row],[単価]]</f>
        <v>113</v>
      </c>
      <c r="M207" s="2"/>
    </row>
    <row r="208" spans="1:13">
      <c r="A208" t="s">
        <v>399</v>
      </c>
      <c r="B208" t="s">
        <v>32</v>
      </c>
      <c r="C208">
        <v>1</v>
      </c>
      <c r="D208">
        <v>201</v>
      </c>
      <c r="E208" t="s">
        <v>400</v>
      </c>
      <c r="F208" s="5">
        <f>matome[[#This Row],[売上数]]*matome[[#This Row],[単価]]</f>
        <v>201</v>
      </c>
      <c r="M208" s="2"/>
    </row>
    <row r="209" spans="1:13">
      <c r="A209" t="s">
        <v>401</v>
      </c>
      <c r="B209" t="s">
        <v>292</v>
      </c>
      <c r="C209">
        <v>1</v>
      </c>
      <c r="D209">
        <v>123</v>
      </c>
      <c r="E209" t="s">
        <v>402</v>
      </c>
      <c r="F209" s="5">
        <f>matome[[#This Row],[売上数]]*matome[[#This Row],[単価]]</f>
        <v>123</v>
      </c>
      <c r="M209" s="2"/>
    </row>
    <row r="210" spans="1:13">
      <c r="A210" t="s">
        <v>403</v>
      </c>
      <c r="B210" t="s">
        <v>18</v>
      </c>
      <c r="C210">
        <v>1</v>
      </c>
      <c r="D210">
        <v>60</v>
      </c>
      <c r="E210" t="s">
        <v>404</v>
      </c>
      <c r="F210" s="5">
        <f>matome[[#This Row],[売上数]]*matome[[#This Row],[単価]]</f>
        <v>60</v>
      </c>
      <c r="M210" s="2"/>
    </row>
    <row r="211" spans="1:13">
      <c r="A211" t="s">
        <v>405</v>
      </c>
      <c r="B211" t="s">
        <v>35</v>
      </c>
      <c r="C211">
        <v>1</v>
      </c>
      <c r="D211">
        <v>134</v>
      </c>
      <c r="E211" t="s">
        <v>406</v>
      </c>
      <c r="F211" s="5">
        <f>matome[[#This Row],[売上数]]*matome[[#This Row],[単価]]</f>
        <v>134</v>
      </c>
      <c r="M211" s="2"/>
    </row>
    <row r="212" spans="1:13">
      <c r="A212" t="s">
        <v>407</v>
      </c>
      <c r="B212" t="s">
        <v>13</v>
      </c>
      <c r="C212">
        <v>1</v>
      </c>
      <c r="D212">
        <v>82</v>
      </c>
      <c r="E212" t="s">
        <v>408</v>
      </c>
      <c r="F212" s="5">
        <f>matome[[#This Row],[売上数]]*matome[[#This Row],[単価]]</f>
        <v>82</v>
      </c>
      <c r="M212" s="2"/>
    </row>
    <row r="213" spans="1:13">
      <c r="A213" t="s">
        <v>409</v>
      </c>
      <c r="B213" t="s">
        <v>35</v>
      </c>
      <c r="C213">
        <v>1</v>
      </c>
      <c r="D213">
        <v>134</v>
      </c>
      <c r="E213" t="s">
        <v>410</v>
      </c>
      <c r="F213" s="5">
        <f>matome[[#This Row],[売上数]]*matome[[#This Row],[単価]]</f>
        <v>134</v>
      </c>
      <c r="M213" s="2"/>
    </row>
    <row r="214" spans="1:13">
      <c r="A214" t="s">
        <v>411</v>
      </c>
      <c r="B214" t="s">
        <v>46</v>
      </c>
      <c r="C214">
        <v>1</v>
      </c>
      <c r="D214">
        <v>41</v>
      </c>
      <c r="E214" t="s">
        <v>410</v>
      </c>
      <c r="F214" s="5">
        <f>matome[[#This Row],[売上数]]*matome[[#This Row],[単価]]</f>
        <v>41</v>
      </c>
      <c r="M214" s="2"/>
    </row>
    <row r="215" spans="1:13">
      <c r="A215" t="s">
        <v>412</v>
      </c>
      <c r="B215" t="s">
        <v>13</v>
      </c>
      <c r="C215">
        <v>1</v>
      </c>
      <c r="D215">
        <v>82</v>
      </c>
      <c r="E215" t="s">
        <v>413</v>
      </c>
      <c r="F215" s="5">
        <f>matome[[#This Row],[売上数]]*matome[[#This Row],[単価]]</f>
        <v>82</v>
      </c>
      <c r="M215" s="2"/>
    </row>
    <row r="216" spans="1:13">
      <c r="A216" t="s">
        <v>414</v>
      </c>
      <c r="B216" t="s">
        <v>415</v>
      </c>
      <c r="C216">
        <v>1</v>
      </c>
      <c r="D216">
        <v>255</v>
      </c>
      <c r="E216" t="s">
        <v>416</v>
      </c>
      <c r="F216" s="5">
        <f>matome[[#This Row],[売上数]]*matome[[#This Row],[単価]]</f>
        <v>255</v>
      </c>
      <c r="M216" s="2"/>
    </row>
  </sheetData>
  <phoneticPr fontId="2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457A-3584-4E93-AEE0-FDEB37772101}">
  <dimension ref="A1:M441"/>
  <sheetViews>
    <sheetView workbookViewId="0">
      <selection activeCell="J321" sqref="J321:J441"/>
    </sheetView>
  </sheetViews>
  <sheetFormatPr defaultRowHeight="13.2"/>
  <cols>
    <col min="1" max="1" width="29.33203125" bestFit="1" customWidth="1"/>
    <col min="2" max="2" width="29.44140625" bestFit="1" customWidth="1"/>
    <col min="3" max="3" width="38.109375" bestFit="1" customWidth="1"/>
    <col min="4" max="4" width="6.109375" customWidth="1"/>
    <col min="5" max="5" width="9" customWidth="1"/>
    <col min="6" max="6" width="7.77734375" customWidth="1"/>
    <col min="7" max="7" width="13.44140625" customWidth="1"/>
    <col min="8" max="8" width="15.5546875" customWidth="1"/>
    <col min="9" max="9" width="16.109375" bestFit="1" customWidth="1"/>
    <col min="12" max="12" width="3.5546875" bestFit="1" customWidth="1"/>
  </cols>
  <sheetData>
    <row r="1" spans="1:13">
      <c r="A1" s="6" t="s">
        <v>0</v>
      </c>
      <c r="B1" s="6" t="s">
        <v>418</v>
      </c>
      <c r="C1" s="6" t="s">
        <v>1</v>
      </c>
      <c r="D1" s="6" t="s">
        <v>443</v>
      </c>
      <c r="E1" s="6" t="s">
        <v>444</v>
      </c>
      <c r="F1" s="6" t="s">
        <v>445</v>
      </c>
      <c r="G1" s="6" t="s">
        <v>446</v>
      </c>
      <c r="H1" s="6" t="s">
        <v>447</v>
      </c>
      <c r="I1" s="6" t="s">
        <v>4</v>
      </c>
      <c r="J1" s="6" t="s">
        <v>434</v>
      </c>
      <c r="L1" s="1" t="s">
        <v>542</v>
      </c>
      <c r="M1">
        <f>-SUMPRODUCT(history[在庫変更数],history[単価])</f>
        <v>20841</v>
      </c>
    </row>
    <row r="2" spans="1:13">
      <c r="A2" s="6" t="s">
        <v>5</v>
      </c>
      <c r="B2" s="6" t="s">
        <v>432</v>
      </c>
      <c r="C2" s="6" t="s">
        <v>6</v>
      </c>
      <c r="D2" s="6">
        <v>4901588617511</v>
      </c>
      <c r="E2" s="6" t="s">
        <v>448</v>
      </c>
      <c r="F2" s="6">
        <v>-1</v>
      </c>
      <c r="G2" s="6">
        <v>-1</v>
      </c>
      <c r="H2" s="9">
        <v>46485</v>
      </c>
      <c r="I2" s="8">
        <v>46209.449583333335</v>
      </c>
      <c r="J2" s="7">
        <f>IF(history[[#This Row],[在庫操作タイプ]]="注文",_xlfn.XLOOKUP(history[[#This Row],[商品ID]],stats[商品ID],stats[単価],"？"),"")</f>
        <v>51</v>
      </c>
    </row>
    <row r="3" spans="1:13">
      <c r="A3" s="6" t="s">
        <v>8</v>
      </c>
      <c r="B3" s="6" t="s">
        <v>432</v>
      </c>
      <c r="C3" s="6" t="s">
        <v>6</v>
      </c>
      <c r="D3" s="6">
        <v>4901588617511</v>
      </c>
      <c r="E3" s="6" t="s">
        <v>448</v>
      </c>
      <c r="F3" s="6">
        <v>-1</v>
      </c>
      <c r="G3" s="6">
        <v>-2</v>
      </c>
      <c r="H3" s="9">
        <v>46485</v>
      </c>
      <c r="I3" s="8">
        <v>46209.456574074073</v>
      </c>
      <c r="J3" s="7">
        <f>IF(history[[#This Row],[在庫操作タイプ]]="注文",_xlfn.XLOOKUP(history[[#This Row],[商品ID]],stats[商品ID],stats[単価],"？"),"")</f>
        <v>51</v>
      </c>
    </row>
    <row r="4" spans="1:13">
      <c r="A4" s="6" t="s">
        <v>10</v>
      </c>
      <c r="B4" s="6" t="s">
        <v>433</v>
      </c>
      <c r="C4" s="6" t="s">
        <v>11</v>
      </c>
      <c r="D4" s="6">
        <v>49328714</v>
      </c>
      <c r="E4" s="6" t="s">
        <v>448</v>
      </c>
      <c r="F4" s="6">
        <v>-1</v>
      </c>
      <c r="G4" s="6">
        <v>-1</v>
      </c>
      <c r="H4" s="9">
        <v>46292</v>
      </c>
      <c r="I4" s="8">
        <v>46209.456574074073</v>
      </c>
      <c r="J4" s="7">
        <f>IF(history[[#This Row],[在庫操作タイプ]]="注文",_xlfn.XLOOKUP(history[[#This Row],[商品ID]],stats[商品ID],stats[単価],"？"),"")</f>
        <v>41</v>
      </c>
    </row>
    <row r="5" spans="1:13">
      <c r="A5" s="6" t="s">
        <v>12</v>
      </c>
      <c r="B5" s="6" t="s">
        <v>426</v>
      </c>
      <c r="C5" s="6" t="s">
        <v>13</v>
      </c>
      <c r="D5" s="6">
        <v>4901360358373</v>
      </c>
      <c r="E5" s="6" t="s">
        <v>448</v>
      </c>
      <c r="F5" s="6">
        <v>-1</v>
      </c>
      <c r="G5" s="6">
        <v>-1</v>
      </c>
      <c r="H5" s="9">
        <v>46538</v>
      </c>
      <c r="I5" s="8">
        <v>46209.456574074073</v>
      </c>
      <c r="J5" s="7">
        <f>IF(history[[#This Row],[在庫操作タイプ]]="注文",_xlfn.XLOOKUP(history[[#This Row],[商品ID]],stats[商品ID],stats[単価],"？"),"")</f>
        <v>82</v>
      </c>
    </row>
    <row r="6" spans="1:13">
      <c r="A6" s="6" t="s">
        <v>14</v>
      </c>
      <c r="B6" s="6" t="s">
        <v>431</v>
      </c>
      <c r="C6" s="6" t="s">
        <v>15</v>
      </c>
      <c r="D6" s="6">
        <v>4901360358397</v>
      </c>
      <c r="E6" s="6" t="s">
        <v>448</v>
      </c>
      <c r="F6" s="6">
        <v>-1</v>
      </c>
      <c r="G6" s="6">
        <v>-1</v>
      </c>
      <c r="H6" s="9">
        <v>46538</v>
      </c>
      <c r="I6" s="8">
        <v>46209.457060185188</v>
      </c>
      <c r="J6" s="7">
        <f>IF(history[[#This Row],[在庫操作タイプ]]="注文",_xlfn.XLOOKUP(history[[#This Row],[商品ID]],stats[商品ID],stats[単価],"？"),"")</f>
        <v>82</v>
      </c>
    </row>
    <row r="7" spans="1:13">
      <c r="A7" s="6" t="s">
        <v>17</v>
      </c>
      <c r="B7" s="6" t="s">
        <v>424</v>
      </c>
      <c r="C7" s="6" t="s">
        <v>18</v>
      </c>
      <c r="D7" s="6">
        <v>4977821321491</v>
      </c>
      <c r="E7" s="6" t="s">
        <v>448</v>
      </c>
      <c r="F7" s="6">
        <v>-1</v>
      </c>
      <c r="G7" s="6">
        <v>-1</v>
      </c>
      <c r="H7" s="9">
        <v>46271</v>
      </c>
      <c r="I7" s="8">
        <v>46209.485000000001</v>
      </c>
      <c r="J7" s="7">
        <f>IF(history[[#This Row],[在庫操作タイプ]]="注文",_xlfn.XLOOKUP(history[[#This Row],[商品ID]],stats[商品ID],stats[単価],"？"),"")</f>
        <v>60</v>
      </c>
    </row>
    <row r="8" spans="1:13">
      <c r="A8" s="6" t="s">
        <v>20</v>
      </c>
      <c r="B8" s="6" t="s">
        <v>422</v>
      </c>
      <c r="C8" s="6" t="s">
        <v>21</v>
      </c>
      <c r="D8" s="6">
        <v>45075469</v>
      </c>
      <c r="E8" s="6" t="s">
        <v>448</v>
      </c>
      <c r="F8" s="6">
        <v>-1</v>
      </c>
      <c r="G8" s="6">
        <v>-1</v>
      </c>
      <c r="H8" s="6"/>
      <c r="I8" s="8">
        <v>46209.490034722221</v>
      </c>
      <c r="J8" s="7">
        <f>IF(history[[#This Row],[在庫操作タイプ]]="注文",_xlfn.XLOOKUP(history[[#This Row],[商品ID]],stats[商品ID],stats[単価],"？"),"")</f>
        <v>185</v>
      </c>
    </row>
    <row r="9" spans="1:13">
      <c r="A9" s="6" t="s">
        <v>23</v>
      </c>
      <c r="B9" s="6" t="s">
        <v>431</v>
      </c>
      <c r="C9" s="6" t="s">
        <v>15</v>
      </c>
      <c r="D9" s="6">
        <v>4901360358397</v>
      </c>
      <c r="E9" s="6" t="s">
        <v>448</v>
      </c>
      <c r="F9" s="6">
        <v>-1</v>
      </c>
      <c r="G9" s="6">
        <v>-2</v>
      </c>
      <c r="H9" s="9">
        <v>46538</v>
      </c>
      <c r="I9" s="8">
        <v>46209.516956018517</v>
      </c>
      <c r="J9" s="7">
        <f>IF(history[[#This Row],[在庫操作タイプ]]="注文",_xlfn.XLOOKUP(history[[#This Row],[商品ID]],stats[商品ID],stats[単価],"？"),"")</f>
        <v>82</v>
      </c>
    </row>
    <row r="10" spans="1:13">
      <c r="A10" s="6" t="s">
        <v>25</v>
      </c>
      <c r="B10" s="6" t="s">
        <v>432</v>
      </c>
      <c r="C10" s="6" t="s">
        <v>6</v>
      </c>
      <c r="D10" s="6">
        <v>4901588617511</v>
      </c>
      <c r="E10" s="6" t="s">
        <v>448</v>
      </c>
      <c r="F10" s="6">
        <v>-2</v>
      </c>
      <c r="G10" s="6">
        <v>-4</v>
      </c>
      <c r="H10" s="9">
        <v>46485</v>
      </c>
      <c r="I10" s="8">
        <v>46209.531168981484</v>
      </c>
      <c r="J10" s="7">
        <f>IF(history[[#This Row],[在庫操作タイプ]]="注文",_xlfn.XLOOKUP(history[[#This Row],[商品ID]],stats[商品ID],stats[単価],"？"),"")</f>
        <v>51</v>
      </c>
    </row>
    <row r="11" spans="1:13">
      <c r="A11" s="6" t="s">
        <v>634</v>
      </c>
      <c r="B11" s="6" t="s">
        <v>430</v>
      </c>
      <c r="C11" s="6" t="s">
        <v>206</v>
      </c>
      <c r="D11" s="6">
        <v>4901360351466</v>
      </c>
      <c r="E11" s="6" t="s">
        <v>461</v>
      </c>
      <c r="F11" s="6">
        <v>10</v>
      </c>
      <c r="G11" s="6">
        <v>10</v>
      </c>
      <c r="H11" s="9">
        <v>46477</v>
      </c>
      <c r="I11" s="8">
        <v>46209.546435185184</v>
      </c>
      <c r="J11" s="7" t="str">
        <f>IF(history[[#This Row],[在庫操作タイプ]]="注文",_xlfn.XLOOKUP(history[[#This Row],[商品ID]],stats[商品ID],stats[単価],"？"),"")</f>
        <v/>
      </c>
    </row>
    <row r="12" spans="1:13">
      <c r="A12" s="6" t="s">
        <v>635</v>
      </c>
      <c r="B12" s="6" t="s">
        <v>470</v>
      </c>
      <c r="C12" s="6" t="s">
        <v>62</v>
      </c>
      <c r="D12" s="6">
        <v>49698626</v>
      </c>
      <c r="E12" s="6" t="s">
        <v>461</v>
      </c>
      <c r="F12" s="6">
        <v>3</v>
      </c>
      <c r="G12" s="6">
        <v>3</v>
      </c>
      <c r="H12" s="9">
        <v>46334</v>
      </c>
      <c r="I12" s="8">
        <v>46209.546435185184</v>
      </c>
      <c r="J12" s="7" t="str">
        <f>IF(history[[#This Row],[在庫操作タイプ]]="注文",_xlfn.XLOOKUP(history[[#This Row],[商品ID]],stats[商品ID],stats[単価],"？"),"")</f>
        <v/>
      </c>
    </row>
    <row r="13" spans="1:13">
      <c r="A13" s="6" t="s">
        <v>636</v>
      </c>
      <c r="B13" s="6" t="s">
        <v>475</v>
      </c>
      <c r="C13" s="6" t="s">
        <v>476</v>
      </c>
      <c r="D13" s="6">
        <v>4901071268374</v>
      </c>
      <c r="E13" s="6" t="s">
        <v>461</v>
      </c>
      <c r="F13" s="6">
        <v>3</v>
      </c>
      <c r="G13" s="6">
        <v>3</v>
      </c>
      <c r="H13" s="9">
        <v>46342</v>
      </c>
      <c r="I13" s="8">
        <v>46209.546435185184</v>
      </c>
      <c r="J13" s="7" t="str">
        <f>IF(history[[#This Row],[在庫操作タイプ]]="注文",_xlfn.XLOOKUP(history[[#This Row],[商品ID]],stats[商品ID],stats[単価],"？"),"")</f>
        <v/>
      </c>
    </row>
    <row r="14" spans="1:13">
      <c r="A14" s="6" t="s">
        <v>637</v>
      </c>
      <c r="B14" s="6" t="s">
        <v>433</v>
      </c>
      <c r="C14" s="6" t="s">
        <v>11</v>
      </c>
      <c r="D14" s="6">
        <v>49328714</v>
      </c>
      <c r="E14" s="6" t="s">
        <v>461</v>
      </c>
      <c r="F14" s="6">
        <v>20</v>
      </c>
      <c r="G14" s="6">
        <v>19</v>
      </c>
      <c r="H14" s="9">
        <v>46292</v>
      </c>
      <c r="I14" s="8">
        <v>46209.546435185184</v>
      </c>
      <c r="J14" s="7" t="str">
        <f>IF(history[[#This Row],[在庫操作タイプ]]="注文",_xlfn.XLOOKUP(history[[#This Row],[商品ID]],stats[商品ID],stats[単価],"？"),"")</f>
        <v/>
      </c>
    </row>
    <row r="15" spans="1:13">
      <c r="A15" s="6" t="s">
        <v>638</v>
      </c>
      <c r="B15" s="6" t="s">
        <v>467</v>
      </c>
      <c r="C15" s="6" t="s">
        <v>93</v>
      </c>
      <c r="D15" s="6">
        <v>4987035555919</v>
      </c>
      <c r="E15" s="6" t="s">
        <v>461</v>
      </c>
      <c r="F15" s="6">
        <v>3</v>
      </c>
      <c r="G15" s="6">
        <v>3</v>
      </c>
      <c r="H15" s="9">
        <v>46446</v>
      </c>
      <c r="I15" s="8">
        <v>46209.546435185184</v>
      </c>
      <c r="J15" s="7" t="str">
        <f>IF(history[[#This Row],[在庫操作タイプ]]="注文",_xlfn.XLOOKUP(history[[#This Row],[商品ID]],stats[商品ID],stats[単価],"？"),"")</f>
        <v/>
      </c>
    </row>
    <row r="16" spans="1:13">
      <c r="A16" s="6" t="s">
        <v>639</v>
      </c>
      <c r="B16" s="6" t="s">
        <v>431</v>
      </c>
      <c r="C16" s="6" t="s">
        <v>15</v>
      </c>
      <c r="D16" s="6">
        <v>4901360358397</v>
      </c>
      <c r="E16" s="6" t="s">
        <v>461</v>
      </c>
      <c r="F16" s="6">
        <v>10</v>
      </c>
      <c r="G16" s="6">
        <v>8</v>
      </c>
      <c r="H16" s="9">
        <v>46538</v>
      </c>
      <c r="I16" s="8">
        <v>46209.546435185184</v>
      </c>
      <c r="J16" s="7" t="str">
        <f>IF(history[[#This Row],[在庫操作タイプ]]="注文",_xlfn.XLOOKUP(history[[#This Row],[商品ID]],stats[商品ID],stats[単価],"？"),"")</f>
        <v/>
      </c>
    </row>
    <row r="17" spans="1:10">
      <c r="A17" s="6" t="s">
        <v>640</v>
      </c>
      <c r="B17" s="6" t="s">
        <v>432</v>
      </c>
      <c r="C17" s="6" t="s">
        <v>6</v>
      </c>
      <c r="D17" s="6">
        <v>4901588617511</v>
      </c>
      <c r="E17" s="6" t="s">
        <v>461</v>
      </c>
      <c r="F17" s="6">
        <v>15</v>
      </c>
      <c r="G17" s="6">
        <v>11</v>
      </c>
      <c r="H17" s="9">
        <v>46485</v>
      </c>
      <c r="I17" s="8">
        <v>46209.546435185184</v>
      </c>
      <c r="J17" s="7" t="str">
        <f>IF(history[[#This Row],[在庫操作タイプ]]="注文",_xlfn.XLOOKUP(history[[#This Row],[商品ID]],stats[商品ID],stats[単価],"？"),"")</f>
        <v/>
      </c>
    </row>
    <row r="18" spans="1:10">
      <c r="A18" s="6" t="s">
        <v>641</v>
      </c>
      <c r="B18" s="6" t="s">
        <v>427</v>
      </c>
      <c r="C18" s="6" t="s">
        <v>46</v>
      </c>
      <c r="D18" s="6">
        <v>4901984088281</v>
      </c>
      <c r="E18" s="6" t="s">
        <v>461</v>
      </c>
      <c r="F18" s="6">
        <v>20</v>
      </c>
      <c r="G18" s="6">
        <v>20</v>
      </c>
      <c r="H18" s="9">
        <v>46377</v>
      </c>
      <c r="I18" s="8">
        <v>46209.546435185184</v>
      </c>
      <c r="J18" s="7" t="str">
        <f>IF(history[[#This Row],[在庫操作タイプ]]="注文",_xlfn.XLOOKUP(history[[#This Row],[商品ID]],stats[商品ID],stats[単価],"？"),"")</f>
        <v/>
      </c>
    </row>
    <row r="19" spans="1:10">
      <c r="A19" s="6" t="s">
        <v>642</v>
      </c>
      <c r="B19" s="6" t="s">
        <v>424</v>
      </c>
      <c r="C19" s="6" t="s">
        <v>18</v>
      </c>
      <c r="D19" s="6">
        <v>4977821321491</v>
      </c>
      <c r="E19" s="6" t="s">
        <v>461</v>
      </c>
      <c r="F19" s="6">
        <v>10</v>
      </c>
      <c r="G19" s="6">
        <v>9</v>
      </c>
      <c r="H19" s="9">
        <v>46271</v>
      </c>
      <c r="I19" s="8">
        <v>46209.546435185184</v>
      </c>
      <c r="J19" s="7" t="str">
        <f>IF(history[[#This Row],[在庫操作タイプ]]="注文",_xlfn.XLOOKUP(history[[#This Row],[商品ID]],stats[商品ID],stats[単価],"？"),"")</f>
        <v/>
      </c>
    </row>
    <row r="20" spans="1:10">
      <c r="A20" s="6" t="s">
        <v>643</v>
      </c>
      <c r="B20" s="6" t="s">
        <v>423</v>
      </c>
      <c r="C20" s="6" t="s">
        <v>96</v>
      </c>
      <c r="D20" s="6">
        <v>4987240618607</v>
      </c>
      <c r="E20" s="6" t="s">
        <v>461</v>
      </c>
      <c r="F20" s="6">
        <v>6</v>
      </c>
      <c r="G20" s="6">
        <v>6</v>
      </c>
      <c r="H20" s="9">
        <v>46660</v>
      </c>
      <c r="I20" s="8">
        <v>46209.546435185184</v>
      </c>
      <c r="J20" s="7" t="str">
        <f>IF(history[[#This Row],[在庫操作タイプ]]="注文",_xlfn.XLOOKUP(history[[#This Row],[商品ID]],stats[商品ID],stats[単価],"？"),"")</f>
        <v/>
      </c>
    </row>
    <row r="21" spans="1:10">
      <c r="A21" s="6" t="s">
        <v>644</v>
      </c>
      <c r="B21" s="6" t="s">
        <v>428</v>
      </c>
      <c r="C21" s="6" t="s">
        <v>35</v>
      </c>
      <c r="D21" s="6">
        <v>4902888232374</v>
      </c>
      <c r="E21" s="6" t="s">
        <v>461</v>
      </c>
      <c r="F21" s="6">
        <v>3</v>
      </c>
      <c r="G21" s="6">
        <v>3</v>
      </c>
      <c r="H21" s="9">
        <v>46142</v>
      </c>
      <c r="I21" s="8">
        <v>46209.546435185184</v>
      </c>
      <c r="J21" s="7" t="str">
        <f>IF(history[[#This Row],[在庫操作タイプ]]="注文",_xlfn.XLOOKUP(history[[#This Row],[商品ID]],stats[商品ID],stats[単価],"？"),"")</f>
        <v/>
      </c>
    </row>
    <row r="22" spans="1:10">
      <c r="A22" s="6" t="s">
        <v>645</v>
      </c>
      <c r="B22" s="6" t="s">
        <v>516</v>
      </c>
      <c r="C22" s="6" t="s">
        <v>517</v>
      </c>
      <c r="D22" s="6">
        <v>4901035222220</v>
      </c>
      <c r="E22" s="6" t="s">
        <v>461</v>
      </c>
      <c r="F22" s="6">
        <v>10</v>
      </c>
      <c r="G22" s="6">
        <v>10</v>
      </c>
      <c r="H22" s="9">
        <v>46387</v>
      </c>
      <c r="I22" s="8">
        <v>46209.546435185184</v>
      </c>
      <c r="J22" s="7" t="str">
        <f>IF(history[[#This Row],[在庫操作タイプ]]="注文",_xlfn.XLOOKUP(history[[#This Row],[商品ID]],stats[商品ID],stats[単価],"？"),"")</f>
        <v/>
      </c>
    </row>
    <row r="23" spans="1:10">
      <c r="A23" s="6" t="s">
        <v>646</v>
      </c>
      <c r="B23" s="6" t="s">
        <v>429</v>
      </c>
      <c r="C23" s="6" t="s">
        <v>49</v>
      </c>
      <c r="D23" s="6">
        <v>4901313207734</v>
      </c>
      <c r="E23" s="6" t="s">
        <v>461</v>
      </c>
      <c r="F23" s="6">
        <v>10</v>
      </c>
      <c r="G23" s="6">
        <v>10</v>
      </c>
      <c r="H23" s="9">
        <v>46356</v>
      </c>
      <c r="I23" s="8">
        <v>46209.546435185184</v>
      </c>
      <c r="J23" s="7" t="str">
        <f>IF(history[[#This Row],[在庫操作タイプ]]="注文",_xlfn.XLOOKUP(history[[#This Row],[商品ID]],stats[商品ID],stats[単価],"？"),"")</f>
        <v/>
      </c>
    </row>
    <row r="24" spans="1:10">
      <c r="A24" s="6" t="s">
        <v>647</v>
      </c>
      <c r="B24" s="6" t="s">
        <v>479</v>
      </c>
      <c r="C24" s="6" t="s">
        <v>480</v>
      </c>
      <c r="D24" s="6">
        <v>4987035043515</v>
      </c>
      <c r="E24" s="6" t="s">
        <v>461</v>
      </c>
      <c r="F24" s="6">
        <v>3</v>
      </c>
      <c r="G24" s="6">
        <v>3</v>
      </c>
      <c r="H24" s="9">
        <v>46477</v>
      </c>
      <c r="I24" s="8">
        <v>46209.546435185184</v>
      </c>
      <c r="J24" s="7" t="str">
        <f>IF(history[[#This Row],[在庫操作タイプ]]="注文",_xlfn.XLOOKUP(history[[#This Row],[商品ID]],stats[商品ID],stats[単価],"？"),"")</f>
        <v/>
      </c>
    </row>
    <row r="25" spans="1:10">
      <c r="A25" s="6" t="s">
        <v>648</v>
      </c>
      <c r="B25" s="6" t="s">
        <v>472</v>
      </c>
      <c r="C25" s="6" t="s">
        <v>473</v>
      </c>
      <c r="D25" s="6">
        <v>4987035684411</v>
      </c>
      <c r="E25" s="6" t="s">
        <v>461</v>
      </c>
      <c r="F25" s="6">
        <v>3</v>
      </c>
      <c r="G25" s="6">
        <v>3</v>
      </c>
      <c r="H25" s="9">
        <v>46477</v>
      </c>
      <c r="I25" s="8">
        <v>46209.546435185184</v>
      </c>
      <c r="J25" s="7" t="str">
        <f>IF(history[[#This Row],[在庫操作タイプ]]="注文",_xlfn.XLOOKUP(history[[#This Row],[商品ID]],stats[商品ID],stats[単価],"？"),"")</f>
        <v/>
      </c>
    </row>
    <row r="26" spans="1:10">
      <c r="A26" s="6" t="s">
        <v>649</v>
      </c>
      <c r="B26" s="6" t="s">
        <v>440</v>
      </c>
      <c r="C26" s="6" t="s">
        <v>128</v>
      </c>
      <c r="D26" s="6">
        <v>45075476</v>
      </c>
      <c r="E26" s="6" t="s">
        <v>461</v>
      </c>
      <c r="F26" s="6">
        <v>20</v>
      </c>
      <c r="G26" s="6">
        <v>20</v>
      </c>
      <c r="H26" s="6"/>
      <c r="I26" s="8">
        <v>46209.546435185184</v>
      </c>
      <c r="J26" s="7" t="str">
        <f>IF(history[[#This Row],[在庫操作タイプ]]="注文",_xlfn.XLOOKUP(history[[#This Row],[商品ID]],stats[商品ID],stats[単価],"？"),"")</f>
        <v/>
      </c>
    </row>
    <row r="27" spans="1:10">
      <c r="A27" s="6" t="s">
        <v>650</v>
      </c>
      <c r="B27" s="6" t="s">
        <v>422</v>
      </c>
      <c r="C27" s="6" t="s">
        <v>21</v>
      </c>
      <c r="D27" s="6">
        <v>45075469</v>
      </c>
      <c r="E27" s="6" t="s">
        <v>461</v>
      </c>
      <c r="F27" s="6">
        <v>20</v>
      </c>
      <c r="G27" s="6">
        <v>19</v>
      </c>
      <c r="H27" s="6"/>
      <c r="I27" s="8">
        <v>46209.546435185184</v>
      </c>
      <c r="J27" s="7" t="str">
        <f>IF(history[[#This Row],[在庫操作タイプ]]="注文",_xlfn.XLOOKUP(history[[#This Row],[商品ID]],stats[商品ID],stats[単価],"？"),"")</f>
        <v/>
      </c>
    </row>
    <row r="28" spans="1:10">
      <c r="A28" s="6" t="s">
        <v>651</v>
      </c>
      <c r="B28" s="6" t="s">
        <v>426</v>
      </c>
      <c r="C28" s="6" t="s">
        <v>13</v>
      </c>
      <c r="D28" s="6">
        <v>4901360358373</v>
      </c>
      <c r="E28" s="6" t="s">
        <v>461</v>
      </c>
      <c r="F28" s="6">
        <v>10</v>
      </c>
      <c r="G28" s="6">
        <v>9</v>
      </c>
      <c r="H28" s="9">
        <v>46538</v>
      </c>
      <c r="I28" s="8">
        <v>46209.546435185184</v>
      </c>
      <c r="J28" s="7" t="str">
        <f>IF(history[[#This Row],[在庫操作タイプ]]="注文",_xlfn.XLOOKUP(history[[#This Row],[商品ID]],stats[商品ID],stats[単価],"？"),"")</f>
        <v/>
      </c>
    </row>
    <row r="29" spans="1:10">
      <c r="A29" s="6" t="s">
        <v>652</v>
      </c>
      <c r="B29" s="6" t="s">
        <v>425</v>
      </c>
      <c r="C29" s="6" t="s">
        <v>32</v>
      </c>
      <c r="D29" s="6">
        <v>4901330578909</v>
      </c>
      <c r="E29" s="6" t="s">
        <v>461</v>
      </c>
      <c r="F29" s="6">
        <v>12</v>
      </c>
      <c r="G29" s="6">
        <v>12</v>
      </c>
      <c r="H29" s="9">
        <v>46184</v>
      </c>
      <c r="I29" s="8">
        <v>46209.546435185184</v>
      </c>
      <c r="J29" s="7" t="str">
        <f>IF(history[[#This Row],[在庫操作タイプ]]="注文",_xlfn.XLOOKUP(history[[#This Row],[商品ID]],stats[商品ID],stats[単価],"？"),"")</f>
        <v/>
      </c>
    </row>
    <row r="30" spans="1:10">
      <c r="A30" s="6" t="s">
        <v>653</v>
      </c>
      <c r="B30" s="6" t="s">
        <v>441</v>
      </c>
      <c r="C30" s="6" t="s">
        <v>415</v>
      </c>
      <c r="D30" s="6">
        <v>49698633</v>
      </c>
      <c r="E30" s="6" t="s">
        <v>461</v>
      </c>
      <c r="F30" s="6">
        <v>3</v>
      </c>
      <c r="G30" s="6">
        <v>3</v>
      </c>
      <c r="H30" s="9">
        <v>46348</v>
      </c>
      <c r="I30" s="8">
        <v>46209.546435185184</v>
      </c>
      <c r="J30" s="7" t="str">
        <f>IF(history[[#This Row],[在庫操作タイプ]]="注文",_xlfn.XLOOKUP(history[[#This Row],[商品ID]],stats[商品ID],stats[単価],"？"),"")</f>
        <v/>
      </c>
    </row>
    <row r="31" spans="1:10">
      <c r="A31" s="6" t="s">
        <v>27</v>
      </c>
      <c r="B31" s="6" t="s">
        <v>431</v>
      </c>
      <c r="C31" s="6" t="s">
        <v>15</v>
      </c>
      <c r="D31" s="6">
        <v>4901360358397</v>
      </c>
      <c r="E31" s="6" t="s">
        <v>448</v>
      </c>
      <c r="F31" s="6">
        <v>-1</v>
      </c>
      <c r="G31" s="6">
        <v>7</v>
      </c>
      <c r="H31" s="9">
        <v>46538</v>
      </c>
      <c r="I31" s="8">
        <v>46209.548263888886</v>
      </c>
      <c r="J31" s="7">
        <f>IF(history[[#This Row],[在庫操作タイプ]]="注文",_xlfn.XLOOKUP(history[[#This Row],[商品ID]],stats[商品ID],stats[単価],"？"),"")</f>
        <v>82</v>
      </c>
    </row>
    <row r="32" spans="1:10">
      <c r="A32" s="6" t="s">
        <v>29</v>
      </c>
      <c r="B32" s="6" t="s">
        <v>424</v>
      </c>
      <c r="C32" s="6" t="s">
        <v>18</v>
      </c>
      <c r="D32" s="6">
        <v>4977821321491</v>
      </c>
      <c r="E32" s="6" t="s">
        <v>448</v>
      </c>
      <c r="F32" s="6">
        <v>-1</v>
      </c>
      <c r="G32" s="6">
        <v>8</v>
      </c>
      <c r="H32" s="9">
        <v>46271</v>
      </c>
      <c r="I32" s="8">
        <v>46209.596990740742</v>
      </c>
      <c r="J32" s="7">
        <f>IF(history[[#This Row],[在庫操作タイプ]]="注文",_xlfn.XLOOKUP(history[[#This Row],[商品ID]],stats[商品ID],stats[単価],"？"),"")</f>
        <v>60</v>
      </c>
    </row>
    <row r="33" spans="1:10">
      <c r="A33" s="6" t="s">
        <v>31</v>
      </c>
      <c r="B33" s="6" t="s">
        <v>425</v>
      </c>
      <c r="C33" s="6" t="s">
        <v>32</v>
      </c>
      <c r="D33" s="6">
        <v>4901330578909</v>
      </c>
      <c r="E33" s="6" t="s">
        <v>448</v>
      </c>
      <c r="F33" s="6">
        <v>-1</v>
      </c>
      <c r="G33" s="6">
        <v>11</v>
      </c>
      <c r="H33" s="9">
        <v>46184</v>
      </c>
      <c r="I33" s="8">
        <v>46209.607048611113</v>
      </c>
      <c r="J33" s="7">
        <f>IF(history[[#This Row],[在庫操作タイプ]]="注文",_xlfn.XLOOKUP(history[[#This Row],[商品ID]],stats[商品ID],stats[単価],"？"),"")</f>
        <v>201</v>
      </c>
    </row>
    <row r="34" spans="1:10">
      <c r="A34" s="6" t="s">
        <v>34</v>
      </c>
      <c r="B34" s="6" t="s">
        <v>428</v>
      </c>
      <c r="C34" s="6" t="s">
        <v>35</v>
      </c>
      <c r="D34" s="6">
        <v>4902888232374</v>
      </c>
      <c r="E34" s="6" t="s">
        <v>448</v>
      </c>
      <c r="F34" s="6">
        <v>-1</v>
      </c>
      <c r="G34" s="6">
        <v>2</v>
      </c>
      <c r="H34" s="9">
        <v>46142</v>
      </c>
      <c r="I34" s="8">
        <v>46209.653449074074</v>
      </c>
      <c r="J34" s="7">
        <f>IF(history[[#This Row],[在庫操作タイプ]]="注文",_xlfn.XLOOKUP(history[[#This Row],[商品ID]],stats[商品ID],stats[単価],"？"),"")</f>
        <v>134</v>
      </c>
    </row>
    <row r="35" spans="1:10">
      <c r="A35" s="6" t="s">
        <v>37</v>
      </c>
      <c r="B35" s="6" t="s">
        <v>432</v>
      </c>
      <c r="C35" s="6" t="s">
        <v>6</v>
      </c>
      <c r="D35" s="6">
        <v>4901588617511</v>
      </c>
      <c r="E35" s="6" t="s">
        <v>448</v>
      </c>
      <c r="F35" s="6">
        <v>-1</v>
      </c>
      <c r="G35" s="6">
        <v>10</v>
      </c>
      <c r="H35" s="9">
        <v>46485</v>
      </c>
      <c r="I35" s="8">
        <v>46209.679108796299</v>
      </c>
      <c r="J35" s="7">
        <f>IF(history[[#This Row],[在庫操作タイプ]]="注文",_xlfn.XLOOKUP(history[[#This Row],[商品ID]],stats[商品ID],stats[単価],"？"),"")</f>
        <v>51</v>
      </c>
    </row>
    <row r="36" spans="1:10">
      <c r="A36" s="6" t="s">
        <v>39</v>
      </c>
      <c r="B36" s="6" t="s">
        <v>422</v>
      </c>
      <c r="C36" s="6" t="s">
        <v>21</v>
      </c>
      <c r="D36" s="6">
        <v>45075469</v>
      </c>
      <c r="E36" s="6" t="s">
        <v>448</v>
      </c>
      <c r="F36" s="6">
        <v>-1</v>
      </c>
      <c r="G36" s="6">
        <v>18</v>
      </c>
      <c r="H36" s="6"/>
      <c r="I36" s="8">
        <v>46209.679479166669</v>
      </c>
      <c r="J36" s="7">
        <f>IF(history[[#This Row],[在庫操作タイプ]]="注文",_xlfn.XLOOKUP(history[[#This Row],[商品ID]],stats[商品ID],stats[単価],"？"),"")</f>
        <v>185</v>
      </c>
    </row>
    <row r="37" spans="1:10">
      <c r="A37" s="6" t="s">
        <v>41</v>
      </c>
      <c r="B37" s="6" t="s">
        <v>428</v>
      </c>
      <c r="C37" s="6" t="s">
        <v>35</v>
      </c>
      <c r="D37" s="6">
        <v>4902888232374</v>
      </c>
      <c r="E37" s="6" t="s">
        <v>448</v>
      </c>
      <c r="F37" s="6">
        <v>-1</v>
      </c>
      <c r="G37" s="6">
        <v>1</v>
      </c>
      <c r="H37" s="9">
        <v>46142</v>
      </c>
      <c r="I37" s="8">
        <v>46209.681898148148</v>
      </c>
      <c r="J37" s="7">
        <f>IF(history[[#This Row],[在庫操作タイプ]]="注文",_xlfn.XLOOKUP(history[[#This Row],[商品ID]],stats[商品ID],stats[単価],"？"),"")</f>
        <v>134</v>
      </c>
    </row>
    <row r="38" spans="1:10">
      <c r="A38" s="6" t="s">
        <v>616</v>
      </c>
      <c r="B38" s="6" t="s">
        <v>423</v>
      </c>
      <c r="C38" s="6" t="s">
        <v>96</v>
      </c>
      <c r="D38" s="6">
        <v>4987240618607</v>
      </c>
      <c r="E38" s="6" t="s">
        <v>461</v>
      </c>
      <c r="F38" s="6">
        <v>0</v>
      </c>
      <c r="G38" s="6">
        <v>6</v>
      </c>
      <c r="H38" s="9">
        <v>46660</v>
      </c>
      <c r="I38" s="8">
        <v>46209.707488425927</v>
      </c>
      <c r="J38" s="7" t="str">
        <f>IF(history[[#This Row],[在庫操作タイプ]]="注文",_xlfn.XLOOKUP(history[[#This Row],[商品ID]],stats[商品ID],stats[単価],"？"),"")</f>
        <v/>
      </c>
    </row>
    <row r="39" spans="1:10">
      <c r="A39" s="6" t="s">
        <v>617</v>
      </c>
      <c r="B39" s="6" t="s">
        <v>428</v>
      </c>
      <c r="C39" s="6" t="s">
        <v>35</v>
      </c>
      <c r="D39" s="6">
        <v>4902888232374</v>
      </c>
      <c r="E39" s="6" t="s">
        <v>461</v>
      </c>
      <c r="F39" s="6">
        <v>3</v>
      </c>
      <c r="G39" s="6">
        <v>4</v>
      </c>
      <c r="H39" s="9">
        <v>46142</v>
      </c>
      <c r="I39" s="8">
        <v>46209.707488425927</v>
      </c>
      <c r="J39" s="7" t="str">
        <f>IF(history[[#This Row],[在庫操作タイプ]]="注文",_xlfn.XLOOKUP(history[[#This Row],[商品ID]],stats[商品ID],stats[単価],"？"),"")</f>
        <v/>
      </c>
    </row>
    <row r="40" spans="1:10">
      <c r="A40" s="6" t="s">
        <v>618</v>
      </c>
      <c r="B40" s="6" t="s">
        <v>441</v>
      </c>
      <c r="C40" s="6" t="s">
        <v>415</v>
      </c>
      <c r="D40" s="6">
        <v>49698633</v>
      </c>
      <c r="E40" s="6" t="s">
        <v>461</v>
      </c>
      <c r="F40" s="6">
        <v>0</v>
      </c>
      <c r="G40" s="6">
        <v>3</v>
      </c>
      <c r="H40" s="9">
        <v>46348</v>
      </c>
      <c r="I40" s="8">
        <v>46209.707488425927</v>
      </c>
      <c r="J40" s="7" t="str">
        <f>IF(history[[#This Row],[在庫操作タイプ]]="注文",_xlfn.XLOOKUP(history[[#This Row],[商品ID]],stats[商品ID],stats[単価],"？"),"")</f>
        <v/>
      </c>
    </row>
    <row r="41" spans="1:10">
      <c r="A41" s="6" t="s">
        <v>619</v>
      </c>
      <c r="B41" s="6" t="s">
        <v>470</v>
      </c>
      <c r="C41" s="6" t="s">
        <v>62</v>
      </c>
      <c r="D41" s="6">
        <v>49698626</v>
      </c>
      <c r="E41" s="6" t="s">
        <v>461</v>
      </c>
      <c r="F41" s="6">
        <v>0</v>
      </c>
      <c r="G41" s="6">
        <v>3</v>
      </c>
      <c r="H41" s="9">
        <v>46334</v>
      </c>
      <c r="I41" s="8">
        <v>46209.707488425927</v>
      </c>
      <c r="J41" s="7" t="str">
        <f>IF(history[[#This Row],[在庫操作タイプ]]="注文",_xlfn.XLOOKUP(history[[#This Row],[商品ID]],stats[商品ID],stats[単価],"？"),"")</f>
        <v/>
      </c>
    </row>
    <row r="42" spans="1:10">
      <c r="A42" s="6" t="s">
        <v>620</v>
      </c>
      <c r="B42" s="6" t="s">
        <v>472</v>
      </c>
      <c r="C42" s="6" t="s">
        <v>473</v>
      </c>
      <c r="D42" s="6">
        <v>4987035684411</v>
      </c>
      <c r="E42" s="6" t="s">
        <v>461</v>
      </c>
      <c r="F42" s="6">
        <v>0</v>
      </c>
      <c r="G42" s="6">
        <v>3</v>
      </c>
      <c r="H42" s="9">
        <v>46477</v>
      </c>
      <c r="I42" s="8">
        <v>46209.707488425927</v>
      </c>
      <c r="J42" s="7" t="str">
        <f>IF(history[[#This Row],[在庫操作タイプ]]="注文",_xlfn.XLOOKUP(history[[#This Row],[商品ID]],stats[商品ID],stats[単価],"？"),"")</f>
        <v/>
      </c>
    </row>
    <row r="43" spans="1:10">
      <c r="A43" s="6" t="s">
        <v>621</v>
      </c>
      <c r="B43" s="6" t="s">
        <v>479</v>
      </c>
      <c r="C43" s="6" t="s">
        <v>480</v>
      </c>
      <c r="D43" s="6">
        <v>4987035043515</v>
      </c>
      <c r="E43" s="6" t="s">
        <v>461</v>
      </c>
      <c r="F43" s="6">
        <v>0</v>
      </c>
      <c r="G43" s="6">
        <v>3</v>
      </c>
      <c r="H43" s="9">
        <v>46477</v>
      </c>
      <c r="I43" s="8">
        <v>46209.707488425927</v>
      </c>
      <c r="J43" s="7" t="str">
        <f>IF(history[[#This Row],[在庫操作タイプ]]="注文",_xlfn.XLOOKUP(history[[#This Row],[商品ID]],stats[商品ID],stats[単価],"？"),"")</f>
        <v/>
      </c>
    </row>
    <row r="44" spans="1:10">
      <c r="A44" s="6" t="s">
        <v>622</v>
      </c>
      <c r="B44" s="6" t="s">
        <v>425</v>
      </c>
      <c r="C44" s="6" t="s">
        <v>32</v>
      </c>
      <c r="D44" s="6">
        <v>4901330578909</v>
      </c>
      <c r="E44" s="6" t="s">
        <v>461</v>
      </c>
      <c r="F44" s="6">
        <v>0</v>
      </c>
      <c r="G44" s="6">
        <v>11</v>
      </c>
      <c r="H44" s="9">
        <v>46184</v>
      </c>
      <c r="I44" s="8">
        <v>46209.707488425927</v>
      </c>
      <c r="J44" s="7" t="str">
        <f>IF(history[[#This Row],[在庫操作タイプ]]="注文",_xlfn.XLOOKUP(history[[#This Row],[商品ID]],stats[商品ID],stats[単価],"？"),"")</f>
        <v/>
      </c>
    </row>
    <row r="45" spans="1:10">
      <c r="A45" s="6" t="s">
        <v>623</v>
      </c>
      <c r="B45" s="6" t="s">
        <v>475</v>
      </c>
      <c r="C45" s="6" t="s">
        <v>476</v>
      </c>
      <c r="D45" s="6">
        <v>4901071268374</v>
      </c>
      <c r="E45" s="6" t="s">
        <v>461</v>
      </c>
      <c r="F45" s="6">
        <v>0</v>
      </c>
      <c r="G45" s="6">
        <v>3</v>
      </c>
      <c r="H45" s="9">
        <v>46342</v>
      </c>
      <c r="I45" s="8">
        <v>46209.707488425927</v>
      </c>
      <c r="J45" s="7" t="str">
        <f>IF(history[[#This Row],[在庫操作タイプ]]="注文",_xlfn.XLOOKUP(history[[#This Row],[商品ID]],stats[商品ID],stats[単価],"？"),"")</f>
        <v/>
      </c>
    </row>
    <row r="46" spans="1:10">
      <c r="A46" s="6" t="s">
        <v>624</v>
      </c>
      <c r="B46" s="6" t="s">
        <v>429</v>
      </c>
      <c r="C46" s="6" t="s">
        <v>49</v>
      </c>
      <c r="D46" s="6">
        <v>4901313207734</v>
      </c>
      <c r="E46" s="6" t="s">
        <v>461</v>
      </c>
      <c r="F46" s="6">
        <v>0</v>
      </c>
      <c r="G46" s="6">
        <v>10</v>
      </c>
      <c r="H46" s="9">
        <v>46356</v>
      </c>
      <c r="I46" s="8">
        <v>46209.707488425927</v>
      </c>
      <c r="J46" s="7" t="str">
        <f>IF(history[[#This Row],[在庫操作タイプ]]="注文",_xlfn.XLOOKUP(history[[#This Row],[商品ID]],stats[商品ID],stats[単価],"？"),"")</f>
        <v/>
      </c>
    </row>
    <row r="47" spans="1:10">
      <c r="A47" s="6" t="s">
        <v>625</v>
      </c>
      <c r="B47" s="6" t="s">
        <v>516</v>
      </c>
      <c r="C47" s="6" t="s">
        <v>517</v>
      </c>
      <c r="D47" s="6">
        <v>4901035222220</v>
      </c>
      <c r="E47" s="6" t="s">
        <v>461</v>
      </c>
      <c r="F47" s="6">
        <v>0</v>
      </c>
      <c r="G47" s="6">
        <v>10</v>
      </c>
      <c r="H47" s="9">
        <v>46387</v>
      </c>
      <c r="I47" s="8">
        <v>46209.707488425927</v>
      </c>
      <c r="J47" s="7" t="str">
        <f>IF(history[[#This Row],[在庫操作タイプ]]="注文",_xlfn.XLOOKUP(history[[#This Row],[商品ID]],stats[商品ID],stats[単価],"？"),"")</f>
        <v/>
      </c>
    </row>
    <row r="48" spans="1:10">
      <c r="A48" s="6" t="s">
        <v>626</v>
      </c>
      <c r="B48" s="6" t="s">
        <v>431</v>
      </c>
      <c r="C48" s="6" t="s">
        <v>15</v>
      </c>
      <c r="D48" s="6">
        <v>4901360358397</v>
      </c>
      <c r="E48" s="6" t="s">
        <v>461</v>
      </c>
      <c r="F48" s="6">
        <v>0</v>
      </c>
      <c r="G48" s="6">
        <v>7</v>
      </c>
      <c r="H48" s="9">
        <v>46538</v>
      </c>
      <c r="I48" s="8">
        <v>46209.707488425927</v>
      </c>
      <c r="J48" s="7" t="str">
        <f>IF(history[[#This Row],[在庫操作タイプ]]="注文",_xlfn.XLOOKUP(history[[#This Row],[商品ID]],stats[商品ID],stats[単価],"？"),"")</f>
        <v/>
      </c>
    </row>
    <row r="49" spans="1:10">
      <c r="A49" s="6" t="s">
        <v>627</v>
      </c>
      <c r="B49" s="6" t="s">
        <v>467</v>
      </c>
      <c r="C49" s="6" t="s">
        <v>93</v>
      </c>
      <c r="D49" s="6">
        <v>4987035555919</v>
      </c>
      <c r="E49" s="6" t="s">
        <v>461</v>
      </c>
      <c r="F49" s="6">
        <v>0</v>
      </c>
      <c r="G49" s="6">
        <v>3</v>
      </c>
      <c r="H49" s="9">
        <v>46446</v>
      </c>
      <c r="I49" s="8">
        <v>46209.707488425927</v>
      </c>
      <c r="J49" s="7" t="str">
        <f>IF(history[[#This Row],[在庫操作タイプ]]="注文",_xlfn.XLOOKUP(history[[#This Row],[商品ID]],stats[商品ID],stats[単価],"？"),"")</f>
        <v/>
      </c>
    </row>
    <row r="50" spans="1:10">
      <c r="A50" s="6" t="s">
        <v>628</v>
      </c>
      <c r="B50" s="6" t="s">
        <v>430</v>
      </c>
      <c r="C50" s="6" t="s">
        <v>206</v>
      </c>
      <c r="D50" s="6">
        <v>4901360351466</v>
      </c>
      <c r="E50" s="6" t="s">
        <v>461</v>
      </c>
      <c r="F50" s="6">
        <v>0</v>
      </c>
      <c r="G50" s="6">
        <v>10</v>
      </c>
      <c r="H50" s="9">
        <v>46477</v>
      </c>
      <c r="I50" s="8">
        <v>46209.707488425927</v>
      </c>
      <c r="J50" s="7" t="str">
        <f>IF(history[[#This Row],[在庫操作タイプ]]="注文",_xlfn.XLOOKUP(history[[#This Row],[商品ID]],stats[商品ID],stats[単価],"？"),"")</f>
        <v/>
      </c>
    </row>
    <row r="51" spans="1:10">
      <c r="A51" s="6" t="s">
        <v>629</v>
      </c>
      <c r="B51" s="6" t="s">
        <v>427</v>
      </c>
      <c r="C51" s="6" t="s">
        <v>46</v>
      </c>
      <c r="D51" s="6">
        <v>4901984088281</v>
      </c>
      <c r="E51" s="6" t="s">
        <v>461</v>
      </c>
      <c r="F51" s="6">
        <v>0</v>
      </c>
      <c r="G51" s="6">
        <v>20</v>
      </c>
      <c r="H51" s="9">
        <v>46377</v>
      </c>
      <c r="I51" s="8">
        <v>46209.707488425927</v>
      </c>
      <c r="J51" s="7" t="str">
        <f>IF(history[[#This Row],[在庫操作タイプ]]="注文",_xlfn.XLOOKUP(history[[#This Row],[商品ID]],stats[商品ID],stats[単価],"？"),"")</f>
        <v/>
      </c>
    </row>
    <row r="52" spans="1:10">
      <c r="A52" s="6" t="s">
        <v>630</v>
      </c>
      <c r="B52" s="6" t="s">
        <v>426</v>
      </c>
      <c r="C52" s="6" t="s">
        <v>13</v>
      </c>
      <c r="D52" s="6">
        <v>4901360358373</v>
      </c>
      <c r="E52" s="6" t="s">
        <v>461</v>
      </c>
      <c r="F52" s="6">
        <v>0</v>
      </c>
      <c r="G52" s="6">
        <v>9</v>
      </c>
      <c r="H52" s="9">
        <v>46538</v>
      </c>
      <c r="I52" s="8">
        <v>46209.707488425927</v>
      </c>
      <c r="J52" s="7" t="str">
        <f>IF(history[[#This Row],[在庫操作タイプ]]="注文",_xlfn.XLOOKUP(history[[#This Row],[商品ID]],stats[商品ID],stats[単価],"？"),"")</f>
        <v/>
      </c>
    </row>
    <row r="53" spans="1:10">
      <c r="A53" s="6" t="s">
        <v>631</v>
      </c>
      <c r="B53" s="6" t="s">
        <v>432</v>
      </c>
      <c r="C53" s="6" t="s">
        <v>6</v>
      </c>
      <c r="D53" s="6">
        <v>4901588617511</v>
      </c>
      <c r="E53" s="6" t="s">
        <v>461</v>
      </c>
      <c r="F53" s="6">
        <v>0</v>
      </c>
      <c r="G53" s="6">
        <v>10</v>
      </c>
      <c r="H53" s="9">
        <v>46485</v>
      </c>
      <c r="I53" s="8">
        <v>46209.707488425927</v>
      </c>
      <c r="J53" s="7" t="str">
        <f>IF(history[[#This Row],[在庫操作タイプ]]="注文",_xlfn.XLOOKUP(history[[#This Row],[商品ID]],stats[商品ID],stats[単価],"？"),"")</f>
        <v/>
      </c>
    </row>
    <row r="54" spans="1:10">
      <c r="A54" s="6" t="s">
        <v>632</v>
      </c>
      <c r="B54" s="6" t="s">
        <v>433</v>
      </c>
      <c r="C54" s="6" t="s">
        <v>11</v>
      </c>
      <c r="D54" s="6">
        <v>49328714</v>
      </c>
      <c r="E54" s="6" t="s">
        <v>461</v>
      </c>
      <c r="F54" s="6">
        <v>0</v>
      </c>
      <c r="G54" s="6">
        <v>19</v>
      </c>
      <c r="H54" s="9">
        <v>46292</v>
      </c>
      <c r="I54" s="8">
        <v>46209.707488425927</v>
      </c>
      <c r="J54" s="7" t="str">
        <f>IF(history[[#This Row],[在庫操作タイプ]]="注文",_xlfn.XLOOKUP(history[[#This Row],[商品ID]],stats[商品ID],stats[単価],"？"),"")</f>
        <v/>
      </c>
    </row>
    <row r="55" spans="1:10">
      <c r="A55" s="6" t="s">
        <v>633</v>
      </c>
      <c r="B55" s="6" t="s">
        <v>424</v>
      </c>
      <c r="C55" s="6" t="s">
        <v>18</v>
      </c>
      <c r="D55" s="6">
        <v>4977821321491</v>
      </c>
      <c r="E55" s="6" t="s">
        <v>461</v>
      </c>
      <c r="F55" s="6">
        <v>0</v>
      </c>
      <c r="G55" s="6">
        <v>8</v>
      </c>
      <c r="H55" s="9">
        <v>46271</v>
      </c>
      <c r="I55" s="8">
        <v>46209.707488425927</v>
      </c>
      <c r="J55" s="7" t="str">
        <f>IF(history[[#This Row],[在庫操作タイプ]]="注文",_xlfn.XLOOKUP(history[[#This Row],[商品ID]],stats[商品ID],stats[単価],"？"),"")</f>
        <v/>
      </c>
    </row>
    <row r="56" spans="1:10">
      <c r="A56" s="6" t="s">
        <v>43</v>
      </c>
      <c r="B56" s="6" t="s">
        <v>428</v>
      </c>
      <c r="C56" s="6" t="s">
        <v>35</v>
      </c>
      <c r="D56" s="6">
        <v>4902888232374</v>
      </c>
      <c r="E56" s="6" t="s">
        <v>448</v>
      </c>
      <c r="F56" s="6">
        <v>-1</v>
      </c>
      <c r="G56" s="6">
        <v>3</v>
      </c>
      <c r="H56" s="9">
        <v>46142</v>
      </c>
      <c r="I56" s="8">
        <v>46209.722928240742</v>
      </c>
      <c r="J56" s="7">
        <f>IF(history[[#This Row],[在庫操作タイプ]]="注文",_xlfn.XLOOKUP(history[[#This Row],[商品ID]],stats[商品ID],stats[単価],"？"),"")</f>
        <v>134</v>
      </c>
    </row>
    <row r="57" spans="1:10">
      <c r="A57" s="6" t="s">
        <v>45</v>
      </c>
      <c r="B57" s="6" t="s">
        <v>427</v>
      </c>
      <c r="C57" s="6" t="s">
        <v>46</v>
      </c>
      <c r="D57" s="6">
        <v>4901984088281</v>
      </c>
      <c r="E57" s="6" t="s">
        <v>448</v>
      </c>
      <c r="F57" s="6">
        <v>-1</v>
      </c>
      <c r="G57" s="6">
        <v>19</v>
      </c>
      <c r="H57" s="9">
        <v>46377</v>
      </c>
      <c r="I57" s="8">
        <v>46209.745497685188</v>
      </c>
      <c r="J57" s="7">
        <f>IF(history[[#This Row],[在庫操作タイプ]]="注文",_xlfn.XLOOKUP(history[[#This Row],[商品ID]],stats[商品ID],stats[単価],"？"),"")</f>
        <v>41</v>
      </c>
    </row>
    <row r="58" spans="1:10">
      <c r="A58" s="6" t="s">
        <v>48</v>
      </c>
      <c r="B58" s="6" t="s">
        <v>429</v>
      </c>
      <c r="C58" s="6" t="s">
        <v>49</v>
      </c>
      <c r="D58" s="6">
        <v>4901313207734</v>
      </c>
      <c r="E58" s="6" t="s">
        <v>448</v>
      </c>
      <c r="F58" s="6">
        <v>-1</v>
      </c>
      <c r="G58" s="6">
        <v>9</v>
      </c>
      <c r="H58" s="9">
        <v>46356</v>
      </c>
      <c r="I58" s="8">
        <v>46209.745532407411</v>
      </c>
      <c r="J58" s="7">
        <f>IF(history[[#This Row],[在庫操作タイプ]]="注文",_xlfn.XLOOKUP(history[[#This Row],[商品ID]],stats[商品ID],stats[単価],"？"),"")</f>
        <v>62</v>
      </c>
    </row>
    <row r="59" spans="1:10">
      <c r="A59" s="6" t="s">
        <v>51</v>
      </c>
      <c r="B59" s="6" t="s">
        <v>426</v>
      </c>
      <c r="C59" s="6" t="s">
        <v>13</v>
      </c>
      <c r="D59" s="6">
        <v>4901360358373</v>
      </c>
      <c r="E59" s="6" t="s">
        <v>448</v>
      </c>
      <c r="F59" s="6">
        <v>-1</v>
      </c>
      <c r="G59" s="6">
        <v>8</v>
      </c>
      <c r="H59" s="9">
        <v>46538</v>
      </c>
      <c r="I59" s="8">
        <v>46209.784189814818</v>
      </c>
      <c r="J59" s="7">
        <f>IF(history[[#This Row],[在庫操作タイプ]]="注文",_xlfn.XLOOKUP(history[[#This Row],[商品ID]],stats[商品ID],stats[単価],"？"),"")</f>
        <v>82</v>
      </c>
    </row>
    <row r="60" spans="1:10">
      <c r="A60" s="6" t="s">
        <v>53</v>
      </c>
      <c r="B60" s="6" t="s">
        <v>424</v>
      </c>
      <c r="C60" s="6" t="s">
        <v>18</v>
      </c>
      <c r="D60" s="6">
        <v>4977821321491</v>
      </c>
      <c r="E60" s="6" t="s">
        <v>448</v>
      </c>
      <c r="F60" s="6">
        <v>-1</v>
      </c>
      <c r="G60" s="6">
        <v>7</v>
      </c>
      <c r="H60" s="9">
        <v>46271</v>
      </c>
      <c r="I60" s="8">
        <v>46209.826724537037</v>
      </c>
      <c r="J60" s="7">
        <f>IF(history[[#This Row],[在庫操作タイプ]]="注文",_xlfn.XLOOKUP(history[[#This Row],[商品ID]],stats[商品ID],stats[単価],"？"),"")</f>
        <v>60</v>
      </c>
    </row>
    <row r="61" spans="1:10">
      <c r="A61" s="6" t="s">
        <v>55</v>
      </c>
      <c r="B61" s="6" t="s">
        <v>428</v>
      </c>
      <c r="C61" s="6" t="s">
        <v>35</v>
      </c>
      <c r="D61" s="6">
        <v>4902888232374</v>
      </c>
      <c r="E61" s="6" t="s">
        <v>448</v>
      </c>
      <c r="F61" s="6">
        <v>-1</v>
      </c>
      <c r="G61" s="6">
        <v>2</v>
      </c>
      <c r="H61" s="9">
        <v>46142</v>
      </c>
      <c r="I61" s="8">
        <v>46210.342152777775</v>
      </c>
      <c r="J61" s="7">
        <f>IF(history[[#This Row],[在庫操作タイプ]]="注文",_xlfn.XLOOKUP(history[[#This Row],[商品ID]],stats[商品ID],stats[単価],"？"),"")</f>
        <v>134</v>
      </c>
    </row>
    <row r="62" spans="1:10">
      <c r="A62" s="6" t="s">
        <v>598</v>
      </c>
      <c r="B62" s="6" t="s">
        <v>467</v>
      </c>
      <c r="C62" s="6" t="s">
        <v>93</v>
      </c>
      <c r="D62" s="6">
        <v>4987035555919</v>
      </c>
      <c r="E62" s="6" t="s">
        <v>461</v>
      </c>
      <c r="F62" s="6">
        <v>0</v>
      </c>
      <c r="G62" s="6">
        <v>3</v>
      </c>
      <c r="H62" s="9">
        <v>46446</v>
      </c>
      <c r="I62" s="8">
        <v>46210.434733796297</v>
      </c>
      <c r="J62" s="7" t="str">
        <f>IF(history[[#This Row],[在庫操作タイプ]]="注文",_xlfn.XLOOKUP(history[[#This Row],[商品ID]],stats[商品ID],stats[単価],"？"),"")</f>
        <v/>
      </c>
    </row>
    <row r="63" spans="1:10">
      <c r="A63" s="6" t="s">
        <v>599</v>
      </c>
      <c r="B63" s="6" t="s">
        <v>431</v>
      </c>
      <c r="C63" s="6" t="s">
        <v>15</v>
      </c>
      <c r="D63" s="6">
        <v>4901360358397</v>
      </c>
      <c r="E63" s="6" t="s">
        <v>461</v>
      </c>
      <c r="F63" s="6">
        <v>0</v>
      </c>
      <c r="G63" s="6">
        <v>7</v>
      </c>
      <c r="H63" s="9">
        <v>46538</v>
      </c>
      <c r="I63" s="8">
        <v>46210.434733796297</v>
      </c>
      <c r="J63" s="7" t="str">
        <f>IF(history[[#This Row],[在庫操作タイプ]]="注文",_xlfn.XLOOKUP(history[[#This Row],[商品ID]],stats[商品ID],stats[単価],"？"),"")</f>
        <v/>
      </c>
    </row>
    <row r="64" spans="1:10">
      <c r="A64" s="6" t="s">
        <v>600</v>
      </c>
      <c r="B64" s="6" t="s">
        <v>425</v>
      </c>
      <c r="C64" s="6" t="s">
        <v>32</v>
      </c>
      <c r="D64" s="6">
        <v>4901330578909</v>
      </c>
      <c r="E64" s="6" t="s">
        <v>461</v>
      </c>
      <c r="F64" s="6">
        <v>0</v>
      </c>
      <c r="G64" s="6">
        <v>11</v>
      </c>
      <c r="H64" s="9">
        <v>46184</v>
      </c>
      <c r="I64" s="8">
        <v>46210.434733796297</v>
      </c>
      <c r="J64" s="7" t="str">
        <f>IF(history[[#This Row],[在庫操作タイプ]]="注文",_xlfn.XLOOKUP(history[[#This Row],[商品ID]],stats[商品ID],stats[単価],"？"),"")</f>
        <v/>
      </c>
    </row>
    <row r="65" spans="1:10">
      <c r="A65" s="6" t="s">
        <v>601</v>
      </c>
      <c r="B65" s="6" t="s">
        <v>441</v>
      </c>
      <c r="C65" s="6" t="s">
        <v>415</v>
      </c>
      <c r="D65" s="6">
        <v>49698633</v>
      </c>
      <c r="E65" s="6" t="s">
        <v>461</v>
      </c>
      <c r="F65" s="6">
        <v>0</v>
      </c>
      <c r="G65" s="6">
        <v>3</v>
      </c>
      <c r="H65" s="9">
        <v>46348</v>
      </c>
      <c r="I65" s="8">
        <v>46210.434733796297</v>
      </c>
      <c r="J65" s="7" t="str">
        <f>IF(history[[#This Row],[在庫操作タイプ]]="注文",_xlfn.XLOOKUP(history[[#This Row],[商品ID]],stats[商品ID],stats[単価],"？"),"")</f>
        <v/>
      </c>
    </row>
    <row r="66" spans="1:10">
      <c r="A66" s="6" t="s">
        <v>602</v>
      </c>
      <c r="B66" s="6" t="s">
        <v>426</v>
      </c>
      <c r="C66" s="6" t="s">
        <v>13</v>
      </c>
      <c r="D66" s="6">
        <v>4901360358373</v>
      </c>
      <c r="E66" s="6" t="s">
        <v>461</v>
      </c>
      <c r="F66" s="6">
        <v>0</v>
      </c>
      <c r="G66" s="6">
        <v>8</v>
      </c>
      <c r="H66" s="9">
        <v>46538</v>
      </c>
      <c r="I66" s="8">
        <v>46210.434733796297</v>
      </c>
      <c r="J66" s="7" t="str">
        <f>IF(history[[#This Row],[在庫操作タイプ]]="注文",_xlfn.XLOOKUP(history[[#This Row],[商品ID]],stats[商品ID],stats[単価],"？"),"")</f>
        <v/>
      </c>
    </row>
    <row r="67" spans="1:10">
      <c r="A67" s="6" t="s">
        <v>603</v>
      </c>
      <c r="B67" s="6" t="s">
        <v>432</v>
      </c>
      <c r="C67" s="6" t="s">
        <v>6</v>
      </c>
      <c r="D67" s="6">
        <v>4901588617511</v>
      </c>
      <c r="E67" s="6" t="s">
        <v>461</v>
      </c>
      <c r="F67" s="6">
        <v>0</v>
      </c>
      <c r="G67" s="6">
        <v>10</v>
      </c>
      <c r="H67" s="9">
        <v>46485</v>
      </c>
      <c r="I67" s="8">
        <v>46210.434733796297</v>
      </c>
      <c r="J67" s="7" t="str">
        <f>IF(history[[#This Row],[在庫操作タイプ]]="注文",_xlfn.XLOOKUP(history[[#This Row],[商品ID]],stats[商品ID],stats[単価],"？"),"")</f>
        <v/>
      </c>
    </row>
    <row r="68" spans="1:10">
      <c r="A68" s="6" t="s">
        <v>604</v>
      </c>
      <c r="B68" s="6" t="s">
        <v>475</v>
      </c>
      <c r="C68" s="6" t="s">
        <v>476</v>
      </c>
      <c r="D68" s="6">
        <v>4901071268374</v>
      </c>
      <c r="E68" s="6" t="s">
        <v>461</v>
      </c>
      <c r="F68" s="6">
        <v>0</v>
      </c>
      <c r="G68" s="6">
        <v>3</v>
      </c>
      <c r="H68" s="9">
        <v>46342</v>
      </c>
      <c r="I68" s="8">
        <v>46210.434733796297</v>
      </c>
      <c r="J68" s="7" t="str">
        <f>IF(history[[#This Row],[在庫操作タイプ]]="注文",_xlfn.XLOOKUP(history[[#This Row],[商品ID]],stats[商品ID],stats[単価],"？"),"")</f>
        <v/>
      </c>
    </row>
    <row r="69" spans="1:10">
      <c r="A69" s="6" t="s">
        <v>605</v>
      </c>
      <c r="B69" s="6" t="s">
        <v>472</v>
      </c>
      <c r="C69" s="6" t="s">
        <v>473</v>
      </c>
      <c r="D69" s="6">
        <v>4987035684411</v>
      </c>
      <c r="E69" s="6" t="s">
        <v>461</v>
      </c>
      <c r="F69" s="6">
        <v>0</v>
      </c>
      <c r="G69" s="6">
        <v>3</v>
      </c>
      <c r="H69" s="9">
        <v>46477</v>
      </c>
      <c r="I69" s="8">
        <v>46210.434733796297</v>
      </c>
      <c r="J69" s="7" t="str">
        <f>IF(history[[#This Row],[在庫操作タイプ]]="注文",_xlfn.XLOOKUP(history[[#This Row],[商品ID]],stats[商品ID],stats[単価],"？"),"")</f>
        <v/>
      </c>
    </row>
    <row r="70" spans="1:10">
      <c r="A70" s="6" t="s">
        <v>606</v>
      </c>
      <c r="B70" s="6" t="s">
        <v>423</v>
      </c>
      <c r="C70" s="6" t="s">
        <v>96</v>
      </c>
      <c r="D70" s="6">
        <v>4987240618607</v>
      </c>
      <c r="E70" s="6" t="s">
        <v>461</v>
      </c>
      <c r="F70" s="6">
        <v>0</v>
      </c>
      <c r="G70" s="6">
        <v>6</v>
      </c>
      <c r="H70" s="9">
        <v>46660</v>
      </c>
      <c r="I70" s="8">
        <v>46210.434733796297</v>
      </c>
      <c r="J70" s="7" t="str">
        <f>IF(history[[#This Row],[在庫操作タイプ]]="注文",_xlfn.XLOOKUP(history[[#This Row],[商品ID]],stats[商品ID],stats[単価],"？"),"")</f>
        <v/>
      </c>
    </row>
    <row r="71" spans="1:10">
      <c r="A71" s="6" t="s">
        <v>607</v>
      </c>
      <c r="B71" s="6" t="s">
        <v>470</v>
      </c>
      <c r="C71" s="6" t="s">
        <v>62</v>
      </c>
      <c r="D71" s="6">
        <v>49698626</v>
      </c>
      <c r="E71" s="6" t="s">
        <v>461</v>
      </c>
      <c r="F71" s="6">
        <v>0</v>
      </c>
      <c r="G71" s="6">
        <v>3</v>
      </c>
      <c r="H71" s="9">
        <v>46334</v>
      </c>
      <c r="I71" s="8">
        <v>46210.434733796297</v>
      </c>
      <c r="J71" s="7" t="str">
        <f>IF(history[[#This Row],[在庫操作タイプ]]="注文",_xlfn.XLOOKUP(history[[#This Row],[商品ID]],stats[商品ID],stats[単価],"？"),"")</f>
        <v/>
      </c>
    </row>
    <row r="72" spans="1:10">
      <c r="A72" s="6" t="s">
        <v>608</v>
      </c>
      <c r="B72" s="6" t="s">
        <v>433</v>
      </c>
      <c r="C72" s="6" t="s">
        <v>11</v>
      </c>
      <c r="D72" s="6">
        <v>49328714</v>
      </c>
      <c r="E72" s="6" t="s">
        <v>461</v>
      </c>
      <c r="F72" s="6">
        <v>0</v>
      </c>
      <c r="G72" s="6">
        <v>19</v>
      </c>
      <c r="H72" s="9">
        <v>46292</v>
      </c>
      <c r="I72" s="8">
        <v>46210.434733796297</v>
      </c>
      <c r="J72" s="7" t="str">
        <f>IF(history[[#This Row],[在庫操作タイプ]]="注文",_xlfn.XLOOKUP(history[[#This Row],[商品ID]],stats[商品ID],stats[単価],"？"),"")</f>
        <v/>
      </c>
    </row>
    <row r="73" spans="1:10">
      <c r="A73" s="6" t="s">
        <v>609</v>
      </c>
      <c r="B73" s="6" t="s">
        <v>428</v>
      </c>
      <c r="C73" s="6" t="s">
        <v>35</v>
      </c>
      <c r="D73" s="6">
        <v>4902888232374</v>
      </c>
      <c r="E73" s="6" t="s">
        <v>461</v>
      </c>
      <c r="F73" s="6">
        <v>6</v>
      </c>
      <c r="G73" s="6">
        <v>8</v>
      </c>
      <c r="H73" s="9">
        <v>46142</v>
      </c>
      <c r="I73" s="8">
        <v>46210.434733796297</v>
      </c>
      <c r="J73" s="7" t="str">
        <f>IF(history[[#This Row],[在庫操作タイプ]]="注文",_xlfn.XLOOKUP(history[[#This Row],[商品ID]],stats[商品ID],stats[単価],"？"),"")</f>
        <v/>
      </c>
    </row>
    <row r="74" spans="1:10">
      <c r="A74" s="6" t="s">
        <v>610</v>
      </c>
      <c r="B74" s="6" t="s">
        <v>430</v>
      </c>
      <c r="C74" s="6" t="s">
        <v>206</v>
      </c>
      <c r="D74" s="6">
        <v>4901360351466</v>
      </c>
      <c r="E74" s="6" t="s">
        <v>461</v>
      </c>
      <c r="F74" s="6">
        <v>0</v>
      </c>
      <c r="G74" s="6">
        <v>10</v>
      </c>
      <c r="H74" s="9">
        <v>46477</v>
      </c>
      <c r="I74" s="8">
        <v>46210.434733796297</v>
      </c>
      <c r="J74" s="7" t="str">
        <f>IF(history[[#This Row],[在庫操作タイプ]]="注文",_xlfn.XLOOKUP(history[[#This Row],[商品ID]],stats[商品ID],stats[単価],"？"),"")</f>
        <v/>
      </c>
    </row>
    <row r="75" spans="1:10">
      <c r="A75" s="6" t="s">
        <v>611</v>
      </c>
      <c r="B75" s="6" t="s">
        <v>427</v>
      </c>
      <c r="C75" s="6" t="s">
        <v>46</v>
      </c>
      <c r="D75" s="6">
        <v>4901984088281</v>
      </c>
      <c r="E75" s="6" t="s">
        <v>461</v>
      </c>
      <c r="F75" s="6">
        <v>0</v>
      </c>
      <c r="G75" s="6">
        <v>19</v>
      </c>
      <c r="H75" s="9">
        <v>46377</v>
      </c>
      <c r="I75" s="8">
        <v>46210.434733796297</v>
      </c>
      <c r="J75" s="7" t="str">
        <f>IF(history[[#This Row],[在庫操作タイプ]]="注文",_xlfn.XLOOKUP(history[[#This Row],[商品ID]],stats[商品ID],stats[単価],"？"),"")</f>
        <v/>
      </c>
    </row>
    <row r="76" spans="1:10">
      <c r="A76" s="6" t="s">
        <v>612</v>
      </c>
      <c r="B76" s="6" t="s">
        <v>424</v>
      </c>
      <c r="C76" s="6" t="s">
        <v>18</v>
      </c>
      <c r="D76" s="6">
        <v>4977821321491</v>
      </c>
      <c r="E76" s="6" t="s">
        <v>461</v>
      </c>
      <c r="F76" s="6">
        <v>0</v>
      </c>
      <c r="G76" s="6">
        <v>7</v>
      </c>
      <c r="H76" s="9">
        <v>46271</v>
      </c>
      <c r="I76" s="8">
        <v>46210.434733796297</v>
      </c>
      <c r="J76" s="7" t="str">
        <f>IF(history[[#This Row],[在庫操作タイプ]]="注文",_xlfn.XLOOKUP(history[[#This Row],[商品ID]],stats[商品ID],stats[単価],"？"),"")</f>
        <v/>
      </c>
    </row>
    <row r="77" spans="1:10">
      <c r="A77" s="6" t="s">
        <v>613</v>
      </c>
      <c r="B77" s="6" t="s">
        <v>479</v>
      </c>
      <c r="C77" s="6" t="s">
        <v>480</v>
      </c>
      <c r="D77" s="6">
        <v>4987035043515</v>
      </c>
      <c r="E77" s="6" t="s">
        <v>461</v>
      </c>
      <c r="F77" s="6">
        <v>0</v>
      </c>
      <c r="G77" s="6">
        <v>3</v>
      </c>
      <c r="H77" s="9">
        <v>46477</v>
      </c>
      <c r="I77" s="8">
        <v>46210.434733796297</v>
      </c>
      <c r="J77" s="7" t="str">
        <f>IF(history[[#This Row],[在庫操作タイプ]]="注文",_xlfn.XLOOKUP(history[[#This Row],[商品ID]],stats[商品ID],stats[単価],"？"),"")</f>
        <v/>
      </c>
    </row>
    <row r="78" spans="1:10">
      <c r="A78" s="6" t="s">
        <v>614</v>
      </c>
      <c r="B78" s="6" t="s">
        <v>516</v>
      </c>
      <c r="C78" s="6" t="s">
        <v>517</v>
      </c>
      <c r="D78" s="6">
        <v>4901035222220</v>
      </c>
      <c r="E78" s="6" t="s">
        <v>461</v>
      </c>
      <c r="F78" s="6">
        <v>0</v>
      </c>
      <c r="G78" s="6">
        <v>10</v>
      </c>
      <c r="H78" s="9">
        <v>46387</v>
      </c>
      <c r="I78" s="8">
        <v>46210.434733796297</v>
      </c>
      <c r="J78" s="7" t="str">
        <f>IF(history[[#This Row],[在庫操作タイプ]]="注文",_xlfn.XLOOKUP(history[[#This Row],[商品ID]],stats[商品ID],stats[単価],"？"),"")</f>
        <v/>
      </c>
    </row>
    <row r="79" spans="1:10">
      <c r="A79" s="6" t="s">
        <v>615</v>
      </c>
      <c r="B79" s="6" t="s">
        <v>429</v>
      </c>
      <c r="C79" s="6" t="s">
        <v>49</v>
      </c>
      <c r="D79" s="6">
        <v>4901313207734</v>
      </c>
      <c r="E79" s="6" t="s">
        <v>461</v>
      </c>
      <c r="F79" s="6">
        <v>0</v>
      </c>
      <c r="G79" s="6">
        <v>9</v>
      </c>
      <c r="H79" s="9">
        <v>46356</v>
      </c>
      <c r="I79" s="8">
        <v>46210.434733796297</v>
      </c>
      <c r="J79" s="7" t="str">
        <f>IF(history[[#This Row],[在庫操作タイプ]]="注文",_xlfn.XLOOKUP(history[[#This Row],[商品ID]],stats[商品ID],stats[単価],"？"),"")</f>
        <v/>
      </c>
    </row>
    <row r="80" spans="1:10">
      <c r="A80" s="6" t="s">
        <v>57</v>
      </c>
      <c r="B80" s="6" t="s">
        <v>432</v>
      </c>
      <c r="C80" s="6" t="s">
        <v>6</v>
      </c>
      <c r="D80" s="6">
        <v>4901588617511</v>
      </c>
      <c r="E80" s="6" t="s">
        <v>448</v>
      </c>
      <c r="F80" s="6">
        <v>-1</v>
      </c>
      <c r="G80" s="6">
        <v>9</v>
      </c>
      <c r="H80" s="9">
        <v>46485</v>
      </c>
      <c r="I80" s="8">
        <v>46210.495625000003</v>
      </c>
      <c r="J80" s="7">
        <f>IF(history[[#This Row],[在庫操作タイプ]]="注文",_xlfn.XLOOKUP(history[[#This Row],[商品ID]],stats[商品ID],stats[単価],"？"),"")</f>
        <v>51</v>
      </c>
    </row>
    <row r="81" spans="1:10">
      <c r="A81" s="6" t="s">
        <v>59</v>
      </c>
      <c r="B81" s="6" t="s">
        <v>433</v>
      </c>
      <c r="C81" s="6" t="s">
        <v>11</v>
      </c>
      <c r="D81" s="6">
        <v>49328714</v>
      </c>
      <c r="E81" s="6" t="s">
        <v>448</v>
      </c>
      <c r="F81" s="6">
        <v>-1</v>
      </c>
      <c r="G81" s="6">
        <v>18</v>
      </c>
      <c r="H81" s="9">
        <v>46292</v>
      </c>
      <c r="I81" s="8">
        <v>46210.495798611111</v>
      </c>
      <c r="J81" s="7">
        <f>IF(history[[#This Row],[在庫操作タイプ]]="注文",_xlfn.XLOOKUP(history[[#This Row],[商品ID]],stats[商品ID],stats[単価],"？"),"")</f>
        <v>41</v>
      </c>
    </row>
    <row r="82" spans="1:10">
      <c r="A82" s="6" t="s">
        <v>61</v>
      </c>
      <c r="B82" s="6" t="s">
        <v>470</v>
      </c>
      <c r="C82" s="6" t="s">
        <v>62</v>
      </c>
      <c r="D82" s="6">
        <v>49698626</v>
      </c>
      <c r="E82" s="6" t="s">
        <v>448</v>
      </c>
      <c r="F82" s="6">
        <v>-1</v>
      </c>
      <c r="G82" s="6">
        <v>2</v>
      </c>
      <c r="H82" s="9">
        <v>46334</v>
      </c>
      <c r="I82" s="8">
        <v>46210.508530092593</v>
      </c>
      <c r="J82" s="7">
        <f>IF(history[[#This Row],[在庫操作タイプ]]="注文",_xlfn.XLOOKUP(history[[#This Row],[商品ID]],stats[商品ID],stats[単価],"？"),"")</f>
        <v>255</v>
      </c>
    </row>
    <row r="83" spans="1:10">
      <c r="A83" s="6" t="s">
        <v>64</v>
      </c>
      <c r="B83" s="6" t="s">
        <v>427</v>
      </c>
      <c r="C83" s="6" t="s">
        <v>46</v>
      </c>
      <c r="D83" s="6">
        <v>4901984088281</v>
      </c>
      <c r="E83" s="6" t="s">
        <v>448</v>
      </c>
      <c r="F83" s="6">
        <v>-1</v>
      </c>
      <c r="G83" s="6">
        <v>18</v>
      </c>
      <c r="H83" s="9">
        <v>46377</v>
      </c>
      <c r="I83" s="8">
        <v>46210.515115740738</v>
      </c>
      <c r="J83" s="7">
        <f>IF(history[[#This Row],[在庫操作タイプ]]="注文",_xlfn.XLOOKUP(history[[#This Row],[商品ID]],stats[商品ID],stats[単価],"？"),"")</f>
        <v>41</v>
      </c>
    </row>
    <row r="84" spans="1:10">
      <c r="A84" s="6" t="s">
        <v>66</v>
      </c>
      <c r="B84" s="6" t="s">
        <v>428</v>
      </c>
      <c r="C84" s="6" t="s">
        <v>35</v>
      </c>
      <c r="D84" s="6">
        <v>4902888232374</v>
      </c>
      <c r="E84" s="6" t="s">
        <v>448</v>
      </c>
      <c r="F84" s="6">
        <v>-1</v>
      </c>
      <c r="G84" s="6">
        <v>7</v>
      </c>
      <c r="H84" s="9">
        <v>46142</v>
      </c>
      <c r="I84" s="8">
        <v>46210.515115740738</v>
      </c>
      <c r="J84" s="7">
        <f>IF(history[[#This Row],[在庫操作タイプ]]="注文",_xlfn.XLOOKUP(history[[#This Row],[商品ID]],stats[商品ID],stats[単価],"？"),"")</f>
        <v>134</v>
      </c>
    </row>
    <row r="85" spans="1:10">
      <c r="A85" s="6" t="s">
        <v>67</v>
      </c>
      <c r="B85" s="6" t="s">
        <v>424</v>
      </c>
      <c r="C85" s="6" t="s">
        <v>18</v>
      </c>
      <c r="D85" s="6">
        <v>4977821321491</v>
      </c>
      <c r="E85" s="6" t="s">
        <v>448</v>
      </c>
      <c r="F85" s="6">
        <v>-1</v>
      </c>
      <c r="G85" s="6">
        <v>6</v>
      </c>
      <c r="H85" s="9">
        <v>46271</v>
      </c>
      <c r="I85" s="8">
        <v>46210.604895833334</v>
      </c>
      <c r="J85" s="7">
        <f>IF(history[[#This Row],[在庫操作タイプ]]="注文",_xlfn.XLOOKUP(history[[#This Row],[商品ID]],stats[商品ID],stats[単価],"？"),"")</f>
        <v>60</v>
      </c>
    </row>
    <row r="86" spans="1:10">
      <c r="A86" s="6" t="s">
        <v>69</v>
      </c>
      <c r="B86" s="6" t="s">
        <v>424</v>
      </c>
      <c r="C86" s="6" t="s">
        <v>18</v>
      </c>
      <c r="D86" s="6">
        <v>4977821321491</v>
      </c>
      <c r="E86" s="6" t="s">
        <v>448</v>
      </c>
      <c r="F86" s="6">
        <v>-1</v>
      </c>
      <c r="G86" s="6">
        <v>5</v>
      </c>
      <c r="H86" s="9">
        <v>46271</v>
      </c>
      <c r="I86" s="8">
        <v>46210.643275462964</v>
      </c>
      <c r="J86" s="7">
        <f>IF(history[[#This Row],[在庫操作タイプ]]="注文",_xlfn.XLOOKUP(history[[#This Row],[商品ID]],stats[商品ID],stats[単価],"？"),"")</f>
        <v>60</v>
      </c>
    </row>
    <row r="87" spans="1:10">
      <c r="A87" s="6" t="s">
        <v>71</v>
      </c>
      <c r="B87" s="6" t="s">
        <v>424</v>
      </c>
      <c r="C87" s="6" t="s">
        <v>18</v>
      </c>
      <c r="D87" s="6">
        <v>4977821321491</v>
      </c>
      <c r="E87" s="6" t="s">
        <v>448</v>
      </c>
      <c r="F87" s="6">
        <v>-1</v>
      </c>
      <c r="G87" s="6">
        <v>4</v>
      </c>
      <c r="H87" s="9">
        <v>46271</v>
      </c>
      <c r="I87" s="8">
        <v>46210.685601851852</v>
      </c>
      <c r="J87" s="7">
        <f>IF(history[[#This Row],[在庫操作タイプ]]="注文",_xlfn.XLOOKUP(history[[#This Row],[商品ID]],stats[商品ID],stats[単価],"？"),"")</f>
        <v>60</v>
      </c>
    </row>
    <row r="88" spans="1:10">
      <c r="A88" s="6" t="s">
        <v>73</v>
      </c>
      <c r="B88" s="6" t="s">
        <v>426</v>
      </c>
      <c r="C88" s="6" t="s">
        <v>13</v>
      </c>
      <c r="D88" s="6">
        <v>4901360358373</v>
      </c>
      <c r="E88" s="6" t="s">
        <v>448</v>
      </c>
      <c r="F88" s="6">
        <v>-1</v>
      </c>
      <c r="G88" s="6">
        <v>7</v>
      </c>
      <c r="H88" s="9">
        <v>46538</v>
      </c>
      <c r="I88" s="8">
        <v>46210.685601851852</v>
      </c>
      <c r="J88" s="7">
        <f>IF(history[[#This Row],[在庫操作タイプ]]="注文",_xlfn.XLOOKUP(history[[#This Row],[商品ID]],stats[商品ID],stats[単価],"？"),"")</f>
        <v>82</v>
      </c>
    </row>
    <row r="89" spans="1:10">
      <c r="A89" s="6" t="s">
        <v>74</v>
      </c>
      <c r="B89" s="6" t="s">
        <v>428</v>
      </c>
      <c r="C89" s="6" t="s">
        <v>35</v>
      </c>
      <c r="D89" s="6">
        <v>4902888232374</v>
      </c>
      <c r="E89" s="6" t="s">
        <v>448</v>
      </c>
      <c r="F89" s="6">
        <v>-1</v>
      </c>
      <c r="G89" s="6">
        <v>6</v>
      </c>
      <c r="H89" s="9">
        <v>46142</v>
      </c>
      <c r="I89" s="8">
        <v>46210.691354166665</v>
      </c>
      <c r="J89" s="7">
        <f>IF(history[[#This Row],[在庫操作タイプ]]="注文",_xlfn.XLOOKUP(history[[#This Row],[商品ID]],stats[商品ID],stats[単価],"？"),"")</f>
        <v>134</v>
      </c>
    </row>
    <row r="90" spans="1:10">
      <c r="A90" s="6" t="s">
        <v>76</v>
      </c>
      <c r="B90" s="6" t="s">
        <v>432</v>
      </c>
      <c r="C90" s="6" t="s">
        <v>6</v>
      </c>
      <c r="D90" s="6">
        <v>4901588617511</v>
      </c>
      <c r="E90" s="6" t="s">
        <v>448</v>
      </c>
      <c r="F90" s="6">
        <v>-1</v>
      </c>
      <c r="G90" s="6">
        <v>8</v>
      </c>
      <c r="H90" s="9">
        <v>46485</v>
      </c>
      <c r="I90" s="8">
        <v>46210.699918981481</v>
      </c>
      <c r="J90" s="7">
        <f>IF(history[[#This Row],[在庫操作タイプ]]="注文",_xlfn.XLOOKUP(history[[#This Row],[商品ID]],stats[商品ID],stats[単価],"？"),"")</f>
        <v>51</v>
      </c>
    </row>
    <row r="91" spans="1:10">
      <c r="A91" s="6" t="s">
        <v>78</v>
      </c>
      <c r="B91" s="6" t="s">
        <v>427</v>
      </c>
      <c r="C91" s="6" t="s">
        <v>46</v>
      </c>
      <c r="D91" s="6">
        <v>4901984088281</v>
      </c>
      <c r="E91" s="6" t="s">
        <v>448</v>
      </c>
      <c r="F91" s="6">
        <v>-1</v>
      </c>
      <c r="G91" s="6">
        <v>17</v>
      </c>
      <c r="H91" s="9">
        <v>46377</v>
      </c>
      <c r="I91" s="8">
        <v>46210.699918981481</v>
      </c>
      <c r="J91" s="7">
        <f>IF(history[[#This Row],[在庫操作タイプ]]="注文",_xlfn.XLOOKUP(history[[#This Row],[商品ID]],stats[商品ID],stats[単価],"？"),"")</f>
        <v>41</v>
      </c>
    </row>
    <row r="92" spans="1:10">
      <c r="A92" s="6" t="s">
        <v>79</v>
      </c>
      <c r="B92" s="6" t="s">
        <v>426</v>
      </c>
      <c r="C92" s="6" t="s">
        <v>13</v>
      </c>
      <c r="D92" s="6">
        <v>4901360358373</v>
      </c>
      <c r="E92" s="6" t="s">
        <v>448</v>
      </c>
      <c r="F92" s="6">
        <v>-1</v>
      </c>
      <c r="G92" s="6">
        <v>6</v>
      </c>
      <c r="H92" s="9">
        <v>46538</v>
      </c>
      <c r="I92" s="8">
        <v>46210.699918981481</v>
      </c>
      <c r="J92" s="7">
        <f>IF(history[[#This Row],[在庫操作タイプ]]="注文",_xlfn.XLOOKUP(history[[#This Row],[商品ID]],stats[商品ID],stats[単価],"？"),"")</f>
        <v>82</v>
      </c>
    </row>
    <row r="93" spans="1:10">
      <c r="A93" s="6" t="s">
        <v>80</v>
      </c>
      <c r="B93" s="6" t="s">
        <v>432</v>
      </c>
      <c r="C93" s="6" t="s">
        <v>6</v>
      </c>
      <c r="D93" s="6">
        <v>4901588617511</v>
      </c>
      <c r="E93" s="6" t="s">
        <v>448</v>
      </c>
      <c r="F93" s="6">
        <v>-1</v>
      </c>
      <c r="G93" s="6">
        <v>7</v>
      </c>
      <c r="H93" s="9">
        <v>46485</v>
      </c>
      <c r="I93" s="8">
        <v>46210.719930555555</v>
      </c>
      <c r="J93" s="7">
        <f>IF(history[[#This Row],[在庫操作タイプ]]="注文",_xlfn.XLOOKUP(history[[#This Row],[商品ID]],stats[商品ID],stats[単価],"？"),"")</f>
        <v>51</v>
      </c>
    </row>
    <row r="94" spans="1:10">
      <c r="A94" s="6" t="s">
        <v>82</v>
      </c>
      <c r="B94" s="6" t="s">
        <v>424</v>
      </c>
      <c r="C94" s="6" t="s">
        <v>18</v>
      </c>
      <c r="D94" s="6">
        <v>4977821321491</v>
      </c>
      <c r="E94" s="6" t="s">
        <v>448</v>
      </c>
      <c r="F94" s="6">
        <v>-1</v>
      </c>
      <c r="G94" s="6">
        <v>3</v>
      </c>
      <c r="H94" s="9">
        <v>46271</v>
      </c>
      <c r="I94" s="8">
        <v>46210.719930555555</v>
      </c>
      <c r="J94" s="7">
        <f>IF(history[[#This Row],[在庫操作タイプ]]="注文",_xlfn.XLOOKUP(history[[#This Row],[商品ID]],stats[商品ID],stats[単価],"？"),"")</f>
        <v>60</v>
      </c>
    </row>
    <row r="95" spans="1:10">
      <c r="A95" s="6" t="s">
        <v>83</v>
      </c>
      <c r="B95" s="6" t="s">
        <v>427</v>
      </c>
      <c r="C95" s="6" t="s">
        <v>46</v>
      </c>
      <c r="D95" s="6">
        <v>4901984088281</v>
      </c>
      <c r="E95" s="6" t="s">
        <v>448</v>
      </c>
      <c r="F95" s="6">
        <v>-1</v>
      </c>
      <c r="G95" s="6">
        <v>16</v>
      </c>
      <c r="H95" s="9">
        <v>46377</v>
      </c>
      <c r="I95" s="8">
        <v>46210.730115740742</v>
      </c>
      <c r="J95" s="7">
        <f>IF(history[[#This Row],[在庫操作タイプ]]="注文",_xlfn.XLOOKUP(history[[#This Row],[商品ID]],stats[商品ID],stats[単価],"？"),"")</f>
        <v>41</v>
      </c>
    </row>
    <row r="96" spans="1:10">
      <c r="A96" s="6" t="s">
        <v>85</v>
      </c>
      <c r="B96" s="6" t="s">
        <v>428</v>
      </c>
      <c r="C96" s="6" t="s">
        <v>35</v>
      </c>
      <c r="D96" s="6">
        <v>4902888232374</v>
      </c>
      <c r="E96" s="6" t="s">
        <v>448</v>
      </c>
      <c r="F96" s="6">
        <v>-1</v>
      </c>
      <c r="G96" s="6">
        <v>5</v>
      </c>
      <c r="H96" s="9">
        <v>46142</v>
      </c>
      <c r="I96" s="8">
        <v>46210.745289351849</v>
      </c>
      <c r="J96" s="7">
        <f>IF(history[[#This Row],[在庫操作タイプ]]="注文",_xlfn.XLOOKUP(history[[#This Row],[商品ID]],stats[商品ID],stats[単価],"？"),"")</f>
        <v>134</v>
      </c>
    </row>
    <row r="97" spans="1:10">
      <c r="A97" s="6" t="s">
        <v>87</v>
      </c>
      <c r="B97" s="6" t="s">
        <v>426</v>
      </c>
      <c r="C97" s="6" t="s">
        <v>13</v>
      </c>
      <c r="D97" s="6">
        <v>4901360358373</v>
      </c>
      <c r="E97" s="6" t="s">
        <v>448</v>
      </c>
      <c r="F97" s="6">
        <v>-1</v>
      </c>
      <c r="G97" s="6">
        <v>5</v>
      </c>
      <c r="H97" s="9">
        <v>46538</v>
      </c>
      <c r="I97" s="8">
        <v>46210.751331018517</v>
      </c>
      <c r="J97" s="7">
        <f>IF(history[[#This Row],[在庫操作タイプ]]="注文",_xlfn.XLOOKUP(history[[#This Row],[商品ID]],stats[商品ID],stats[単価],"？"),"")</f>
        <v>82</v>
      </c>
    </row>
    <row r="98" spans="1:10">
      <c r="A98" s="6" t="s">
        <v>89</v>
      </c>
      <c r="B98" s="6" t="s">
        <v>433</v>
      </c>
      <c r="C98" s="6" t="s">
        <v>11</v>
      </c>
      <c r="D98" s="6">
        <v>49328714</v>
      </c>
      <c r="E98" s="6" t="s">
        <v>448</v>
      </c>
      <c r="F98" s="6">
        <v>-2</v>
      </c>
      <c r="G98" s="6">
        <v>16</v>
      </c>
      <c r="H98" s="9">
        <v>46292</v>
      </c>
      <c r="I98" s="8">
        <v>46211.490046296298</v>
      </c>
      <c r="J98" s="7">
        <f>IF(history[[#This Row],[在庫操作タイプ]]="注文",_xlfn.XLOOKUP(history[[#This Row],[商品ID]],stats[商品ID],stats[単価],"？"),"")</f>
        <v>41</v>
      </c>
    </row>
    <row r="99" spans="1:10">
      <c r="A99" s="6" t="s">
        <v>91</v>
      </c>
      <c r="B99" s="6" t="s">
        <v>431</v>
      </c>
      <c r="C99" s="6" t="s">
        <v>15</v>
      </c>
      <c r="D99" s="6">
        <v>4901360358397</v>
      </c>
      <c r="E99" s="6" t="s">
        <v>448</v>
      </c>
      <c r="F99" s="6">
        <v>-1</v>
      </c>
      <c r="G99" s="6">
        <v>6</v>
      </c>
      <c r="H99" s="9">
        <v>46538</v>
      </c>
      <c r="I99" s="8">
        <v>46211.490046296298</v>
      </c>
      <c r="J99" s="7">
        <f>IF(history[[#This Row],[在庫操作タイプ]]="注文",_xlfn.XLOOKUP(history[[#This Row],[商品ID]],stats[商品ID],stats[単価],"？"),"")</f>
        <v>82</v>
      </c>
    </row>
    <row r="100" spans="1:10">
      <c r="A100" s="6" t="s">
        <v>92</v>
      </c>
      <c r="B100" s="6" t="s">
        <v>467</v>
      </c>
      <c r="C100" s="6" t="s">
        <v>93</v>
      </c>
      <c r="D100" s="6">
        <v>4987035555919</v>
      </c>
      <c r="E100" s="6" t="s">
        <v>448</v>
      </c>
      <c r="F100" s="6">
        <v>-1</v>
      </c>
      <c r="G100" s="6">
        <v>2</v>
      </c>
      <c r="H100" s="9">
        <v>46446</v>
      </c>
      <c r="I100" s="8">
        <v>46211.490578703706</v>
      </c>
      <c r="J100" s="7">
        <f>IF(history[[#This Row],[在庫操作タイプ]]="注文",_xlfn.XLOOKUP(history[[#This Row],[商品ID]],stats[商品ID],stats[単価],"？"),"")</f>
        <v>129</v>
      </c>
    </row>
    <row r="101" spans="1:10">
      <c r="A101" s="6" t="s">
        <v>95</v>
      </c>
      <c r="B101" s="6" t="s">
        <v>423</v>
      </c>
      <c r="C101" s="6" t="s">
        <v>96</v>
      </c>
      <c r="D101" s="6">
        <v>4987240618607</v>
      </c>
      <c r="E101" s="6" t="s">
        <v>448</v>
      </c>
      <c r="F101" s="6">
        <v>-1</v>
      </c>
      <c r="G101" s="6">
        <v>5</v>
      </c>
      <c r="H101" s="9">
        <v>46660</v>
      </c>
      <c r="I101" s="8">
        <v>46211.585960648146</v>
      </c>
      <c r="J101" s="7">
        <f>IF(history[[#This Row],[在庫操作タイプ]]="注文",_xlfn.XLOOKUP(history[[#This Row],[商品ID]],stats[商品ID],stats[単価],"？"),"")</f>
        <v>288</v>
      </c>
    </row>
    <row r="102" spans="1:10">
      <c r="A102" s="6" t="s">
        <v>98</v>
      </c>
      <c r="B102" s="6" t="s">
        <v>432</v>
      </c>
      <c r="C102" s="6" t="s">
        <v>6</v>
      </c>
      <c r="D102" s="6">
        <v>4901588617511</v>
      </c>
      <c r="E102" s="6" t="s">
        <v>448</v>
      </c>
      <c r="F102" s="6">
        <v>-1</v>
      </c>
      <c r="G102" s="6">
        <v>6</v>
      </c>
      <c r="H102" s="9">
        <v>46485</v>
      </c>
      <c r="I102" s="8">
        <v>46211.586782407408</v>
      </c>
      <c r="J102" s="7">
        <f>IF(history[[#This Row],[在庫操作タイプ]]="注文",_xlfn.XLOOKUP(history[[#This Row],[商品ID]],stats[商品ID],stats[単価],"？"),"")</f>
        <v>51</v>
      </c>
    </row>
    <row r="103" spans="1:10">
      <c r="A103" s="6" t="s">
        <v>100</v>
      </c>
      <c r="B103" s="6" t="s">
        <v>427</v>
      </c>
      <c r="C103" s="6" t="s">
        <v>46</v>
      </c>
      <c r="D103" s="6">
        <v>4901984088281</v>
      </c>
      <c r="E103" s="6" t="s">
        <v>448</v>
      </c>
      <c r="F103" s="6">
        <v>-1</v>
      </c>
      <c r="G103" s="6">
        <v>15</v>
      </c>
      <c r="H103" s="9">
        <v>46377</v>
      </c>
      <c r="I103" s="8">
        <v>46211.587395833332</v>
      </c>
      <c r="J103" s="7">
        <f>IF(history[[#This Row],[在庫操作タイプ]]="注文",_xlfn.XLOOKUP(history[[#This Row],[商品ID]],stats[商品ID],stats[単価],"？"),"")</f>
        <v>41</v>
      </c>
    </row>
    <row r="104" spans="1:10">
      <c r="A104" s="6" t="s">
        <v>102</v>
      </c>
      <c r="B104" s="6" t="s">
        <v>431</v>
      </c>
      <c r="C104" s="6" t="s">
        <v>15</v>
      </c>
      <c r="D104" s="6">
        <v>4901360358397</v>
      </c>
      <c r="E104" s="6" t="s">
        <v>448</v>
      </c>
      <c r="F104" s="6">
        <v>-1</v>
      </c>
      <c r="G104" s="6">
        <v>5</v>
      </c>
      <c r="H104" s="9">
        <v>46538</v>
      </c>
      <c r="I104" s="8">
        <v>46211.658055555556</v>
      </c>
      <c r="J104" s="7">
        <f>IF(history[[#This Row],[在庫操作タイプ]]="注文",_xlfn.XLOOKUP(history[[#This Row],[商品ID]],stats[商品ID],stats[単価],"？"),"")</f>
        <v>82</v>
      </c>
    </row>
    <row r="105" spans="1:10">
      <c r="A105" s="6" t="s">
        <v>104</v>
      </c>
      <c r="B105" s="6" t="s">
        <v>429</v>
      </c>
      <c r="C105" s="6" t="s">
        <v>49</v>
      </c>
      <c r="D105" s="6">
        <v>4901313207734</v>
      </c>
      <c r="E105" s="6" t="s">
        <v>448</v>
      </c>
      <c r="F105" s="6">
        <v>-1</v>
      </c>
      <c r="G105" s="6">
        <v>8</v>
      </c>
      <c r="H105" s="9">
        <v>46356</v>
      </c>
      <c r="I105" s="8">
        <v>46211.658680555556</v>
      </c>
      <c r="J105" s="7">
        <f>IF(history[[#This Row],[在庫操作タイプ]]="注文",_xlfn.XLOOKUP(history[[#This Row],[商品ID]],stats[商品ID],stats[単価],"？"),"")</f>
        <v>62</v>
      </c>
    </row>
    <row r="106" spans="1:10">
      <c r="A106" s="6" t="s">
        <v>106</v>
      </c>
      <c r="B106" s="6" t="s">
        <v>428</v>
      </c>
      <c r="C106" s="6" t="s">
        <v>35</v>
      </c>
      <c r="D106" s="6">
        <v>4902888232374</v>
      </c>
      <c r="E106" s="6" t="s">
        <v>448</v>
      </c>
      <c r="F106" s="6">
        <v>-1</v>
      </c>
      <c r="G106" s="6">
        <v>4</v>
      </c>
      <c r="H106" s="9">
        <v>46142</v>
      </c>
      <c r="I106" s="8">
        <v>46211.688831018517</v>
      </c>
      <c r="J106" s="7">
        <f>IF(history[[#This Row],[在庫操作タイプ]]="注文",_xlfn.XLOOKUP(history[[#This Row],[商品ID]],stats[商品ID],stats[単価],"？"),"")</f>
        <v>134</v>
      </c>
    </row>
    <row r="107" spans="1:10">
      <c r="A107" s="6" t="s">
        <v>108</v>
      </c>
      <c r="B107" s="6" t="s">
        <v>429</v>
      </c>
      <c r="C107" s="6" t="s">
        <v>49</v>
      </c>
      <c r="D107" s="6">
        <v>4901313207734</v>
      </c>
      <c r="E107" s="6" t="s">
        <v>448</v>
      </c>
      <c r="F107" s="6">
        <v>-1</v>
      </c>
      <c r="G107" s="6">
        <v>7</v>
      </c>
      <c r="H107" s="9">
        <v>46356</v>
      </c>
      <c r="I107" s="8">
        <v>46211.698194444441</v>
      </c>
      <c r="J107" s="7">
        <f>IF(history[[#This Row],[在庫操作タイプ]]="注文",_xlfn.XLOOKUP(history[[#This Row],[商品ID]],stats[商品ID],stats[単価],"？"),"")</f>
        <v>62</v>
      </c>
    </row>
    <row r="108" spans="1:10">
      <c r="A108" s="6" t="s">
        <v>110</v>
      </c>
      <c r="B108" s="6" t="s">
        <v>433</v>
      </c>
      <c r="C108" s="6" t="s">
        <v>11</v>
      </c>
      <c r="D108" s="6">
        <v>49328714</v>
      </c>
      <c r="E108" s="6" t="s">
        <v>448</v>
      </c>
      <c r="F108" s="6">
        <v>-2</v>
      </c>
      <c r="G108" s="6">
        <v>14</v>
      </c>
      <c r="H108" s="9">
        <v>46292</v>
      </c>
      <c r="I108" s="8">
        <v>46211.708715277775</v>
      </c>
      <c r="J108" s="7">
        <f>IF(history[[#This Row],[在庫操作タイプ]]="注文",_xlfn.XLOOKUP(history[[#This Row],[商品ID]],stats[商品ID],stats[単価],"？"),"")</f>
        <v>41</v>
      </c>
    </row>
    <row r="109" spans="1:10">
      <c r="A109" s="6" t="s">
        <v>112</v>
      </c>
      <c r="B109" s="6" t="s">
        <v>422</v>
      </c>
      <c r="C109" s="6" t="s">
        <v>21</v>
      </c>
      <c r="D109" s="6">
        <v>45075469</v>
      </c>
      <c r="E109" s="6" t="s">
        <v>448</v>
      </c>
      <c r="F109" s="6">
        <v>-1</v>
      </c>
      <c r="G109" s="6">
        <v>17</v>
      </c>
      <c r="H109" s="6"/>
      <c r="I109" s="8">
        <v>46211.72483796296</v>
      </c>
      <c r="J109" s="7">
        <f>IF(history[[#This Row],[在庫操作タイプ]]="注文",_xlfn.XLOOKUP(history[[#This Row],[商品ID]],stats[商品ID],stats[単価],"？"),"")</f>
        <v>185</v>
      </c>
    </row>
    <row r="110" spans="1:10">
      <c r="A110" s="6" t="s">
        <v>114</v>
      </c>
      <c r="B110" s="6" t="s">
        <v>432</v>
      </c>
      <c r="C110" s="6" t="s">
        <v>6</v>
      </c>
      <c r="D110" s="6">
        <v>4901588617511</v>
      </c>
      <c r="E110" s="6" t="s">
        <v>448</v>
      </c>
      <c r="F110" s="6">
        <v>-1</v>
      </c>
      <c r="G110" s="6">
        <v>5</v>
      </c>
      <c r="H110" s="9">
        <v>46485</v>
      </c>
      <c r="I110" s="8">
        <v>46211.732152777775</v>
      </c>
      <c r="J110" s="7">
        <f>IF(history[[#This Row],[在庫操作タイプ]]="注文",_xlfn.XLOOKUP(history[[#This Row],[商品ID]],stats[商品ID],stats[単価],"？"),"")</f>
        <v>51</v>
      </c>
    </row>
    <row r="111" spans="1:10">
      <c r="A111" s="6" t="s">
        <v>116</v>
      </c>
      <c r="B111" s="6" t="s">
        <v>432</v>
      </c>
      <c r="C111" s="6" t="s">
        <v>6</v>
      </c>
      <c r="D111" s="6">
        <v>4901588617511</v>
      </c>
      <c r="E111" s="6" t="s">
        <v>448</v>
      </c>
      <c r="F111" s="6">
        <v>-2</v>
      </c>
      <c r="G111" s="6">
        <v>3</v>
      </c>
      <c r="H111" s="9">
        <v>46485</v>
      </c>
      <c r="I111" s="8">
        <v>46211.732997685183</v>
      </c>
      <c r="J111" s="7">
        <f>IF(history[[#This Row],[在庫操作タイプ]]="注文",_xlfn.XLOOKUP(history[[#This Row],[商品ID]],stats[商品ID],stats[単価],"？"),"")</f>
        <v>51</v>
      </c>
    </row>
    <row r="112" spans="1:10">
      <c r="A112" s="6" t="s">
        <v>118</v>
      </c>
      <c r="B112" s="6" t="s">
        <v>432</v>
      </c>
      <c r="C112" s="6" t="s">
        <v>6</v>
      </c>
      <c r="D112" s="6">
        <v>4901588617511</v>
      </c>
      <c r="E112" s="6" t="s">
        <v>448</v>
      </c>
      <c r="F112" s="6">
        <v>-1</v>
      </c>
      <c r="G112" s="6">
        <v>2</v>
      </c>
      <c r="H112" s="9">
        <v>46485</v>
      </c>
      <c r="I112" s="8">
        <v>46211.742592592593</v>
      </c>
      <c r="J112" s="7">
        <f>IF(history[[#This Row],[在庫操作タイプ]]="注文",_xlfn.XLOOKUP(history[[#This Row],[商品ID]],stats[商品ID],stats[単価],"？"),"")</f>
        <v>51</v>
      </c>
    </row>
    <row r="113" spans="1:10">
      <c r="A113" s="6" t="s">
        <v>120</v>
      </c>
      <c r="B113" s="6" t="s">
        <v>429</v>
      </c>
      <c r="C113" s="6" t="s">
        <v>49</v>
      </c>
      <c r="D113" s="6">
        <v>4901313207734</v>
      </c>
      <c r="E113" s="6" t="s">
        <v>448</v>
      </c>
      <c r="F113" s="6">
        <v>-1</v>
      </c>
      <c r="G113" s="6">
        <v>6</v>
      </c>
      <c r="H113" s="9">
        <v>46356</v>
      </c>
      <c r="I113" s="8">
        <v>46211.75209490741</v>
      </c>
      <c r="J113" s="7">
        <f>IF(history[[#This Row],[在庫操作タイプ]]="注文",_xlfn.XLOOKUP(history[[#This Row],[商品ID]],stats[商品ID],stats[単価],"？"),"")</f>
        <v>62</v>
      </c>
    </row>
    <row r="114" spans="1:10">
      <c r="A114" s="6" t="s">
        <v>122</v>
      </c>
      <c r="B114" s="6" t="s">
        <v>431</v>
      </c>
      <c r="C114" s="6" t="s">
        <v>15</v>
      </c>
      <c r="D114" s="6">
        <v>4901360358397</v>
      </c>
      <c r="E114" s="6" t="s">
        <v>448</v>
      </c>
      <c r="F114" s="6">
        <v>-1</v>
      </c>
      <c r="G114" s="6">
        <v>4</v>
      </c>
      <c r="H114" s="9">
        <v>46538</v>
      </c>
      <c r="I114" s="8">
        <v>46211.765601851854</v>
      </c>
      <c r="J114" s="7">
        <f>IF(history[[#This Row],[在庫操作タイプ]]="注文",_xlfn.XLOOKUP(history[[#This Row],[商品ID]],stats[商品ID],stats[単価],"？"),"")</f>
        <v>82</v>
      </c>
    </row>
    <row r="115" spans="1:10">
      <c r="A115" s="6" t="s">
        <v>124</v>
      </c>
      <c r="B115" s="6" t="s">
        <v>432</v>
      </c>
      <c r="C115" s="6" t="s">
        <v>6</v>
      </c>
      <c r="D115" s="6">
        <v>4901588617511</v>
      </c>
      <c r="E115" s="6" t="s">
        <v>448</v>
      </c>
      <c r="F115" s="6">
        <v>-1</v>
      </c>
      <c r="G115" s="6">
        <v>1</v>
      </c>
      <c r="H115" s="9">
        <v>46485</v>
      </c>
      <c r="I115" s="8">
        <v>46211.765601851854</v>
      </c>
      <c r="J115" s="7">
        <f>IF(history[[#This Row],[在庫操作タイプ]]="注文",_xlfn.XLOOKUP(history[[#This Row],[商品ID]],stats[商品ID],stats[単価],"？"),"")</f>
        <v>51</v>
      </c>
    </row>
    <row r="116" spans="1:10">
      <c r="A116" s="6" t="s">
        <v>580</v>
      </c>
      <c r="B116" s="6" t="s">
        <v>431</v>
      </c>
      <c r="C116" s="6" t="s">
        <v>15</v>
      </c>
      <c r="D116" s="6">
        <v>4901360358397</v>
      </c>
      <c r="E116" s="6" t="s">
        <v>461</v>
      </c>
      <c r="F116" s="6">
        <v>0</v>
      </c>
      <c r="G116" s="6">
        <v>4</v>
      </c>
      <c r="H116" s="9">
        <v>46538</v>
      </c>
      <c r="I116" s="8">
        <v>46211.796226851853</v>
      </c>
      <c r="J116" s="7" t="str">
        <f>IF(history[[#This Row],[在庫操作タイプ]]="注文",_xlfn.XLOOKUP(history[[#This Row],[商品ID]],stats[商品ID],stats[単価],"？"),"")</f>
        <v/>
      </c>
    </row>
    <row r="117" spans="1:10">
      <c r="A117" s="6" t="s">
        <v>581</v>
      </c>
      <c r="B117" s="6" t="s">
        <v>425</v>
      </c>
      <c r="C117" s="6" t="s">
        <v>32</v>
      </c>
      <c r="D117" s="6">
        <v>4901330578909</v>
      </c>
      <c r="E117" s="6" t="s">
        <v>461</v>
      </c>
      <c r="F117" s="6">
        <v>0</v>
      </c>
      <c r="G117" s="6">
        <v>11</v>
      </c>
      <c r="H117" s="9">
        <v>46184</v>
      </c>
      <c r="I117" s="8">
        <v>46211.796226851853</v>
      </c>
      <c r="J117" s="7" t="str">
        <f>IF(history[[#This Row],[在庫操作タイプ]]="注文",_xlfn.XLOOKUP(history[[#This Row],[商品ID]],stats[商品ID],stats[単価],"？"),"")</f>
        <v/>
      </c>
    </row>
    <row r="118" spans="1:10">
      <c r="A118" s="6" t="s">
        <v>582</v>
      </c>
      <c r="B118" s="6" t="s">
        <v>424</v>
      </c>
      <c r="C118" s="6" t="s">
        <v>18</v>
      </c>
      <c r="D118" s="6">
        <v>4977821321491</v>
      </c>
      <c r="E118" s="6" t="s">
        <v>461</v>
      </c>
      <c r="F118" s="6">
        <v>0</v>
      </c>
      <c r="G118" s="6">
        <v>3</v>
      </c>
      <c r="H118" s="9">
        <v>46271</v>
      </c>
      <c r="I118" s="8">
        <v>46211.796226851853</v>
      </c>
      <c r="J118" s="7" t="str">
        <f>IF(history[[#This Row],[在庫操作タイプ]]="注文",_xlfn.XLOOKUP(history[[#This Row],[商品ID]],stats[商品ID],stats[単価],"？"),"")</f>
        <v/>
      </c>
    </row>
    <row r="119" spans="1:10">
      <c r="A119" s="6" t="s">
        <v>583</v>
      </c>
      <c r="B119" s="6" t="s">
        <v>423</v>
      </c>
      <c r="C119" s="6" t="s">
        <v>96</v>
      </c>
      <c r="D119" s="6">
        <v>4987240618607</v>
      </c>
      <c r="E119" s="6" t="s">
        <v>461</v>
      </c>
      <c r="F119" s="6">
        <v>0</v>
      </c>
      <c r="G119" s="6">
        <v>5</v>
      </c>
      <c r="H119" s="9">
        <v>46660</v>
      </c>
      <c r="I119" s="8">
        <v>46211.796226851853</v>
      </c>
      <c r="J119" s="7" t="str">
        <f>IF(history[[#This Row],[在庫操作タイプ]]="注文",_xlfn.XLOOKUP(history[[#This Row],[商品ID]],stats[商品ID],stats[単価],"？"),"")</f>
        <v/>
      </c>
    </row>
    <row r="120" spans="1:10">
      <c r="A120" s="6" t="s">
        <v>584</v>
      </c>
      <c r="B120" s="6" t="s">
        <v>430</v>
      </c>
      <c r="C120" s="6" t="s">
        <v>206</v>
      </c>
      <c r="D120" s="6">
        <v>4901360351466</v>
      </c>
      <c r="E120" s="6" t="s">
        <v>461</v>
      </c>
      <c r="F120" s="6">
        <v>0</v>
      </c>
      <c r="G120" s="6">
        <v>10</v>
      </c>
      <c r="H120" s="9">
        <v>46477</v>
      </c>
      <c r="I120" s="8">
        <v>46211.796226851853</v>
      </c>
      <c r="J120" s="7" t="str">
        <f>IF(history[[#This Row],[在庫操作タイプ]]="注文",_xlfn.XLOOKUP(history[[#This Row],[商品ID]],stats[商品ID],stats[単価],"？"),"")</f>
        <v/>
      </c>
    </row>
    <row r="121" spans="1:10">
      <c r="A121" s="6" t="s">
        <v>585</v>
      </c>
      <c r="B121" s="6" t="s">
        <v>433</v>
      </c>
      <c r="C121" s="6" t="s">
        <v>11</v>
      </c>
      <c r="D121" s="6">
        <v>49328714</v>
      </c>
      <c r="E121" s="6" t="s">
        <v>461</v>
      </c>
      <c r="F121" s="6">
        <v>0</v>
      </c>
      <c r="G121" s="6">
        <v>14</v>
      </c>
      <c r="H121" s="9">
        <v>46292</v>
      </c>
      <c r="I121" s="8">
        <v>46211.796226851853</v>
      </c>
      <c r="J121" s="7" t="str">
        <f>IF(history[[#This Row],[在庫操作タイプ]]="注文",_xlfn.XLOOKUP(history[[#This Row],[商品ID]],stats[商品ID],stats[単価],"？"),"")</f>
        <v/>
      </c>
    </row>
    <row r="122" spans="1:10">
      <c r="A122" s="6" t="s">
        <v>586</v>
      </c>
      <c r="B122" s="6" t="s">
        <v>432</v>
      </c>
      <c r="C122" s="6" t="s">
        <v>6</v>
      </c>
      <c r="D122" s="6">
        <v>4901588617511</v>
      </c>
      <c r="E122" s="6" t="s">
        <v>461</v>
      </c>
      <c r="F122" s="6">
        <v>5</v>
      </c>
      <c r="G122" s="6">
        <v>6</v>
      </c>
      <c r="H122" s="9">
        <v>46485</v>
      </c>
      <c r="I122" s="8">
        <v>46211.796226851853</v>
      </c>
      <c r="J122" s="7" t="str">
        <f>IF(history[[#This Row],[在庫操作タイプ]]="注文",_xlfn.XLOOKUP(history[[#This Row],[商品ID]],stats[商品ID],stats[単価],"？"),"")</f>
        <v/>
      </c>
    </row>
    <row r="123" spans="1:10">
      <c r="A123" s="6" t="s">
        <v>587</v>
      </c>
      <c r="B123" s="6" t="s">
        <v>426</v>
      </c>
      <c r="C123" s="6" t="s">
        <v>13</v>
      </c>
      <c r="D123" s="6">
        <v>4901360358373</v>
      </c>
      <c r="E123" s="6" t="s">
        <v>461</v>
      </c>
      <c r="F123" s="6">
        <v>0</v>
      </c>
      <c r="G123" s="6">
        <v>5</v>
      </c>
      <c r="H123" s="9">
        <v>46538</v>
      </c>
      <c r="I123" s="8">
        <v>46211.796226851853</v>
      </c>
      <c r="J123" s="7" t="str">
        <f>IF(history[[#This Row],[在庫操作タイプ]]="注文",_xlfn.XLOOKUP(history[[#This Row],[商品ID]],stats[商品ID],stats[単価],"？"),"")</f>
        <v/>
      </c>
    </row>
    <row r="124" spans="1:10">
      <c r="A124" s="6" t="s">
        <v>588</v>
      </c>
      <c r="B124" s="6" t="s">
        <v>427</v>
      </c>
      <c r="C124" s="6" t="s">
        <v>46</v>
      </c>
      <c r="D124" s="6">
        <v>4901984088281</v>
      </c>
      <c r="E124" s="6" t="s">
        <v>461</v>
      </c>
      <c r="F124" s="6">
        <v>0</v>
      </c>
      <c r="G124" s="6">
        <v>15</v>
      </c>
      <c r="H124" s="9">
        <v>46377</v>
      </c>
      <c r="I124" s="8">
        <v>46211.796226851853</v>
      </c>
      <c r="J124" s="7" t="str">
        <f>IF(history[[#This Row],[在庫操作タイプ]]="注文",_xlfn.XLOOKUP(history[[#This Row],[商品ID]],stats[商品ID],stats[単価],"？"),"")</f>
        <v/>
      </c>
    </row>
    <row r="125" spans="1:10">
      <c r="A125" s="6" t="s">
        <v>589</v>
      </c>
      <c r="B125" s="6" t="s">
        <v>475</v>
      </c>
      <c r="C125" s="6" t="s">
        <v>476</v>
      </c>
      <c r="D125" s="6">
        <v>4901071268374</v>
      </c>
      <c r="E125" s="6" t="s">
        <v>461</v>
      </c>
      <c r="F125" s="6">
        <v>0</v>
      </c>
      <c r="G125" s="6">
        <v>3</v>
      </c>
      <c r="H125" s="9">
        <v>46342</v>
      </c>
      <c r="I125" s="8">
        <v>46211.796226851853</v>
      </c>
      <c r="J125" s="7" t="str">
        <f>IF(history[[#This Row],[在庫操作タイプ]]="注文",_xlfn.XLOOKUP(history[[#This Row],[商品ID]],stats[商品ID],stats[単価],"？"),"")</f>
        <v/>
      </c>
    </row>
    <row r="126" spans="1:10">
      <c r="A126" s="6" t="s">
        <v>590</v>
      </c>
      <c r="B126" s="6" t="s">
        <v>441</v>
      </c>
      <c r="C126" s="6" t="s">
        <v>415</v>
      </c>
      <c r="D126" s="6">
        <v>49698633</v>
      </c>
      <c r="E126" s="6" t="s">
        <v>461</v>
      </c>
      <c r="F126" s="6">
        <v>0</v>
      </c>
      <c r="G126" s="6">
        <v>3</v>
      </c>
      <c r="H126" s="9">
        <v>46348</v>
      </c>
      <c r="I126" s="8">
        <v>46211.796226851853</v>
      </c>
      <c r="J126" s="7" t="str">
        <f>IF(history[[#This Row],[在庫操作タイプ]]="注文",_xlfn.XLOOKUP(history[[#This Row],[商品ID]],stats[商品ID],stats[単価],"？"),"")</f>
        <v/>
      </c>
    </row>
    <row r="127" spans="1:10">
      <c r="A127" s="6" t="s">
        <v>591</v>
      </c>
      <c r="B127" s="6" t="s">
        <v>467</v>
      </c>
      <c r="C127" s="6" t="s">
        <v>93</v>
      </c>
      <c r="D127" s="6">
        <v>4987035555919</v>
      </c>
      <c r="E127" s="6" t="s">
        <v>461</v>
      </c>
      <c r="F127" s="6">
        <v>0</v>
      </c>
      <c r="G127" s="6">
        <v>2</v>
      </c>
      <c r="H127" s="9">
        <v>46446</v>
      </c>
      <c r="I127" s="8">
        <v>46211.796226851853</v>
      </c>
      <c r="J127" s="7" t="str">
        <f>IF(history[[#This Row],[在庫操作タイプ]]="注文",_xlfn.XLOOKUP(history[[#This Row],[商品ID]],stats[商品ID],stats[単価],"？"),"")</f>
        <v/>
      </c>
    </row>
    <row r="128" spans="1:10">
      <c r="A128" s="6" t="s">
        <v>592</v>
      </c>
      <c r="B128" s="6" t="s">
        <v>428</v>
      </c>
      <c r="C128" s="6" t="s">
        <v>35</v>
      </c>
      <c r="D128" s="6">
        <v>4902888232374</v>
      </c>
      <c r="E128" s="6" t="s">
        <v>461</v>
      </c>
      <c r="F128" s="6">
        <v>0</v>
      </c>
      <c r="G128" s="6">
        <v>4</v>
      </c>
      <c r="H128" s="9">
        <v>46142</v>
      </c>
      <c r="I128" s="8">
        <v>46211.796226851853</v>
      </c>
      <c r="J128" s="7" t="str">
        <f>IF(history[[#This Row],[在庫操作タイプ]]="注文",_xlfn.XLOOKUP(history[[#This Row],[商品ID]],stats[商品ID],stats[単価],"？"),"")</f>
        <v/>
      </c>
    </row>
    <row r="129" spans="1:10">
      <c r="A129" s="6" t="s">
        <v>593</v>
      </c>
      <c r="B129" s="6" t="s">
        <v>516</v>
      </c>
      <c r="C129" s="6" t="s">
        <v>517</v>
      </c>
      <c r="D129" s="6">
        <v>4901035222220</v>
      </c>
      <c r="E129" s="6" t="s">
        <v>461</v>
      </c>
      <c r="F129" s="6">
        <v>0</v>
      </c>
      <c r="G129" s="6">
        <v>10</v>
      </c>
      <c r="H129" s="9">
        <v>46387</v>
      </c>
      <c r="I129" s="8">
        <v>46211.796226851853</v>
      </c>
      <c r="J129" s="7" t="str">
        <f>IF(history[[#This Row],[在庫操作タイプ]]="注文",_xlfn.XLOOKUP(history[[#This Row],[商品ID]],stats[商品ID],stats[単価],"？"),"")</f>
        <v/>
      </c>
    </row>
    <row r="130" spans="1:10">
      <c r="A130" s="6" t="s">
        <v>594</v>
      </c>
      <c r="B130" s="6" t="s">
        <v>429</v>
      </c>
      <c r="C130" s="6" t="s">
        <v>49</v>
      </c>
      <c r="D130" s="6">
        <v>4901313207734</v>
      </c>
      <c r="E130" s="6" t="s">
        <v>461</v>
      </c>
      <c r="F130" s="6">
        <v>0</v>
      </c>
      <c r="G130" s="6">
        <v>6</v>
      </c>
      <c r="H130" s="9">
        <v>46356</v>
      </c>
      <c r="I130" s="8">
        <v>46211.796226851853</v>
      </c>
      <c r="J130" s="7" t="str">
        <f>IF(history[[#This Row],[在庫操作タイプ]]="注文",_xlfn.XLOOKUP(history[[#This Row],[商品ID]],stats[商品ID],stats[単価],"？"),"")</f>
        <v/>
      </c>
    </row>
    <row r="131" spans="1:10">
      <c r="A131" s="6" t="s">
        <v>595</v>
      </c>
      <c r="B131" s="6" t="s">
        <v>479</v>
      </c>
      <c r="C131" s="6" t="s">
        <v>480</v>
      </c>
      <c r="D131" s="6">
        <v>4987035043515</v>
      </c>
      <c r="E131" s="6" t="s">
        <v>461</v>
      </c>
      <c r="F131" s="6">
        <v>0</v>
      </c>
      <c r="G131" s="6">
        <v>3</v>
      </c>
      <c r="H131" s="9">
        <v>46477</v>
      </c>
      <c r="I131" s="8">
        <v>46211.796226851853</v>
      </c>
      <c r="J131" s="7" t="str">
        <f>IF(history[[#This Row],[在庫操作タイプ]]="注文",_xlfn.XLOOKUP(history[[#This Row],[商品ID]],stats[商品ID],stats[単価],"？"),"")</f>
        <v/>
      </c>
    </row>
    <row r="132" spans="1:10">
      <c r="A132" s="6" t="s">
        <v>596</v>
      </c>
      <c r="B132" s="6" t="s">
        <v>472</v>
      </c>
      <c r="C132" s="6" t="s">
        <v>473</v>
      </c>
      <c r="D132" s="6">
        <v>4987035684411</v>
      </c>
      <c r="E132" s="6" t="s">
        <v>461</v>
      </c>
      <c r="F132" s="6">
        <v>0</v>
      </c>
      <c r="G132" s="6">
        <v>3</v>
      </c>
      <c r="H132" s="9">
        <v>46477</v>
      </c>
      <c r="I132" s="8">
        <v>46211.796226851853</v>
      </c>
      <c r="J132" s="7" t="str">
        <f>IF(history[[#This Row],[在庫操作タイプ]]="注文",_xlfn.XLOOKUP(history[[#This Row],[商品ID]],stats[商品ID],stats[単価],"？"),"")</f>
        <v/>
      </c>
    </row>
    <row r="133" spans="1:10">
      <c r="A133" s="6" t="s">
        <v>597</v>
      </c>
      <c r="B133" s="6" t="s">
        <v>470</v>
      </c>
      <c r="C133" s="6" t="s">
        <v>62</v>
      </c>
      <c r="D133" s="6">
        <v>49698626</v>
      </c>
      <c r="E133" s="6" t="s">
        <v>461</v>
      </c>
      <c r="F133" s="6">
        <v>0</v>
      </c>
      <c r="G133" s="6">
        <v>2</v>
      </c>
      <c r="H133" s="9">
        <v>46334</v>
      </c>
      <c r="I133" s="8">
        <v>46211.796226851853</v>
      </c>
      <c r="J133" s="7" t="str">
        <f>IF(history[[#This Row],[在庫操作タイプ]]="注文",_xlfn.XLOOKUP(history[[#This Row],[商品ID]],stats[商品ID],stats[単価],"？"),"")</f>
        <v/>
      </c>
    </row>
    <row r="134" spans="1:10">
      <c r="A134" s="6" t="s">
        <v>125</v>
      </c>
      <c r="B134" s="6" t="s">
        <v>425</v>
      </c>
      <c r="C134" s="6" t="s">
        <v>32</v>
      </c>
      <c r="D134" s="6">
        <v>4901330578909</v>
      </c>
      <c r="E134" s="6" t="s">
        <v>448</v>
      </c>
      <c r="F134" s="6">
        <v>-1</v>
      </c>
      <c r="G134" s="6">
        <v>10</v>
      </c>
      <c r="H134" s="9">
        <v>46184</v>
      </c>
      <c r="I134" s="8">
        <v>46211.801689814813</v>
      </c>
      <c r="J134" s="7">
        <f>IF(history[[#This Row],[在庫操作タイプ]]="注文",_xlfn.XLOOKUP(history[[#This Row],[商品ID]],stats[商品ID],stats[単価],"？"),"")</f>
        <v>201</v>
      </c>
    </row>
    <row r="135" spans="1:10">
      <c r="A135" s="6" t="s">
        <v>127</v>
      </c>
      <c r="B135" s="6" t="s">
        <v>440</v>
      </c>
      <c r="C135" s="6" t="s">
        <v>128</v>
      </c>
      <c r="D135" s="6">
        <v>45075476</v>
      </c>
      <c r="E135" s="6" t="s">
        <v>448</v>
      </c>
      <c r="F135" s="6">
        <v>-1</v>
      </c>
      <c r="G135" s="6">
        <v>19</v>
      </c>
      <c r="H135" s="6"/>
      <c r="I135" s="8">
        <v>46212.342395833337</v>
      </c>
      <c r="J135" s="7">
        <f>IF(history[[#This Row],[在庫操作タイプ]]="注文",_xlfn.XLOOKUP(history[[#This Row],[商品ID]],stats[商品ID],stats[単価],"？"),"")</f>
        <v>185</v>
      </c>
    </row>
    <row r="136" spans="1:10">
      <c r="A136" s="6" t="s">
        <v>579</v>
      </c>
      <c r="B136" s="6" t="s">
        <v>432</v>
      </c>
      <c r="C136" s="6" t="s">
        <v>6</v>
      </c>
      <c r="D136" s="6">
        <v>4901588617511</v>
      </c>
      <c r="E136" s="6" t="s">
        <v>538</v>
      </c>
      <c r="F136" s="6">
        <v>-5</v>
      </c>
      <c r="G136" s="6">
        <v>1</v>
      </c>
      <c r="H136" s="9">
        <v>46485</v>
      </c>
      <c r="I136" s="8">
        <v>46212.402731481481</v>
      </c>
      <c r="J136" s="7" t="str">
        <f>IF(history[[#This Row],[在庫操作タイプ]]="注文",_xlfn.XLOOKUP(history[[#This Row],[商品ID]],stats[商品ID],stats[単価],"？"),"")</f>
        <v/>
      </c>
    </row>
    <row r="137" spans="1:10">
      <c r="A137" s="6" t="s">
        <v>130</v>
      </c>
      <c r="B137" s="6" t="s">
        <v>432</v>
      </c>
      <c r="C137" s="6" t="s">
        <v>6</v>
      </c>
      <c r="D137" s="6">
        <v>4901588617511</v>
      </c>
      <c r="E137" s="6" t="s">
        <v>448</v>
      </c>
      <c r="F137" s="6">
        <v>-1</v>
      </c>
      <c r="G137" s="6">
        <v>0</v>
      </c>
      <c r="H137" s="9">
        <v>46485</v>
      </c>
      <c r="I137" s="8">
        <v>46212.422002314815</v>
      </c>
      <c r="J137" s="7">
        <f>IF(history[[#This Row],[在庫操作タイプ]]="注文",_xlfn.XLOOKUP(history[[#This Row],[商品ID]],stats[商品ID],stats[単価],"？"),"")</f>
        <v>51</v>
      </c>
    </row>
    <row r="138" spans="1:10">
      <c r="A138" s="6" t="s">
        <v>561</v>
      </c>
      <c r="B138" s="6" t="s">
        <v>470</v>
      </c>
      <c r="C138" s="6" t="s">
        <v>62</v>
      </c>
      <c r="D138" s="6">
        <v>49698626</v>
      </c>
      <c r="E138" s="6" t="s">
        <v>461</v>
      </c>
      <c r="F138" s="6">
        <v>0</v>
      </c>
      <c r="G138" s="6">
        <v>2</v>
      </c>
      <c r="H138" s="9">
        <v>46334</v>
      </c>
      <c r="I138" s="8">
        <v>46212.502141203702</v>
      </c>
      <c r="J138" s="7" t="str">
        <f>IF(history[[#This Row],[在庫操作タイプ]]="注文",_xlfn.XLOOKUP(history[[#This Row],[商品ID]],stats[商品ID],stats[単価],"？"),"")</f>
        <v/>
      </c>
    </row>
    <row r="139" spans="1:10">
      <c r="A139" s="6" t="s">
        <v>562</v>
      </c>
      <c r="B139" s="6" t="s">
        <v>433</v>
      </c>
      <c r="C139" s="6" t="s">
        <v>11</v>
      </c>
      <c r="D139" s="6">
        <v>49328714</v>
      </c>
      <c r="E139" s="6" t="s">
        <v>461</v>
      </c>
      <c r="F139" s="6">
        <v>0</v>
      </c>
      <c r="G139" s="6">
        <v>14</v>
      </c>
      <c r="H139" s="9">
        <v>46292</v>
      </c>
      <c r="I139" s="8">
        <v>46212.502141203702</v>
      </c>
      <c r="J139" s="7" t="str">
        <f>IF(history[[#This Row],[在庫操作タイプ]]="注文",_xlfn.XLOOKUP(history[[#This Row],[商品ID]],stats[商品ID],stats[単価],"？"),"")</f>
        <v/>
      </c>
    </row>
    <row r="140" spans="1:10">
      <c r="A140" s="6" t="s">
        <v>563</v>
      </c>
      <c r="B140" s="6" t="s">
        <v>432</v>
      </c>
      <c r="C140" s="6" t="s">
        <v>6</v>
      </c>
      <c r="D140" s="6">
        <v>4901588617511</v>
      </c>
      <c r="E140" s="6" t="s">
        <v>461</v>
      </c>
      <c r="F140" s="6">
        <v>5</v>
      </c>
      <c r="G140" s="6">
        <v>5</v>
      </c>
      <c r="H140" s="9">
        <v>46485</v>
      </c>
      <c r="I140" s="8">
        <v>46212.502141203702</v>
      </c>
      <c r="J140" s="7" t="str">
        <f>IF(history[[#This Row],[在庫操作タイプ]]="注文",_xlfn.XLOOKUP(history[[#This Row],[商品ID]],stats[商品ID],stats[単価],"？"),"")</f>
        <v/>
      </c>
    </row>
    <row r="141" spans="1:10">
      <c r="A141" s="6" t="s">
        <v>564</v>
      </c>
      <c r="B141" s="6" t="s">
        <v>441</v>
      </c>
      <c r="C141" s="6" t="s">
        <v>415</v>
      </c>
      <c r="D141" s="6">
        <v>49698633</v>
      </c>
      <c r="E141" s="6" t="s">
        <v>461</v>
      </c>
      <c r="F141" s="6">
        <v>0</v>
      </c>
      <c r="G141" s="6">
        <v>3</v>
      </c>
      <c r="H141" s="9">
        <v>46348</v>
      </c>
      <c r="I141" s="8">
        <v>46212.502141203702</v>
      </c>
      <c r="J141" s="7" t="str">
        <f>IF(history[[#This Row],[在庫操作タイプ]]="注文",_xlfn.XLOOKUP(history[[#This Row],[商品ID]],stats[商品ID],stats[単価],"？"),"")</f>
        <v/>
      </c>
    </row>
    <row r="142" spans="1:10">
      <c r="A142" s="6" t="s">
        <v>565</v>
      </c>
      <c r="B142" s="6" t="s">
        <v>430</v>
      </c>
      <c r="C142" s="6" t="s">
        <v>206</v>
      </c>
      <c r="D142" s="6">
        <v>4901360351466</v>
      </c>
      <c r="E142" s="6" t="s">
        <v>461</v>
      </c>
      <c r="F142" s="6">
        <v>0</v>
      </c>
      <c r="G142" s="6">
        <v>10</v>
      </c>
      <c r="H142" s="9">
        <v>46477</v>
      </c>
      <c r="I142" s="8">
        <v>46212.502141203702</v>
      </c>
      <c r="J142" s="7" t="str">
        <f>IF(history[[#This Row],[在庫操作タイプ]]="注文",_xlfn.XLOOKUP(history[[#This Row],[商品ID]],stats[商品ID],stats[単価],"？"),"")</f>
        <v/>
      </c>
    </row>
    <row r="143" spans="1:10">
      <c r="A143" s="6" t="s">
        <v>566</v>
      </c>
      <c r="B143" s="6" t="s">
        <v>427</v>
      </c>
      <c r="C143" s="6" t="s">
        <v>46</v>
      </c>
      <c r="D143" s="6">
        <v>4901984088281</v>
      </c>
      <c r="E143" s="6" t="s">
        <v>461</v>
      </c>
      <c r="F143" s="6">
        <v>0</v>
      </c>
      <c r="G143" s="6">
        <v>15</v>
      </c>
      <c r="H143" s="9">
        <v>46377</v>
      </c>
      <c r="I143" s="8">
        <v>46212.502141203702</v>
      </c>
      <c r="J143" s="7" t="str">
        <f>IF(history[[#This Row],[在庫操作タイプ]]="注文",_xlfn.XLOOKUP(history[[#This Row],[商品ID]],stats[商品ID],stats[単価],"？"),"")</f>
        <v/>
      </c>
    </row>
    <row r="144" spans="1:10">
      <c r="A144" s="6" t="s">
        <v>567</v>
      </c>
      <c r="B144" s="6" t="s">
        <v>475</v>
      </c>
      <c r="C144" s="6" t="s">
        <v>476</v>
      </c>
      <c r="D144" s="6">
        <v>4901071268374</v>
      </c>
      <c r="E144" s="6" t="s">
        <v>461</v>
      </c>
      <c r="F144" s="6">
        <v>0</v>
      </c>
      <c r="G144" s="6">
        <v>3</v>
      </c>
      <c r="H144" s="9">
        <v>46342</v>
      </c>
      <c r="I144" s="8">
        <v>46212.502141203702</v>
      </c>
      <c r="J144" s="7" t="str">
        <f>IF(history[[#This Row],[在庫操作タイプ]]="注文",_xlfn.XLOOKUP(history[[#This Row],[商品ID]],stats[商品ID],stats[単価],"？"),"")</f>
        <v/>
      </c>
    </row>
    <row r="145" spans="1:10">
      <c r="A145" s="6" t="s">
        <v>568</v>
      </c>
      <c r="B145" s="6" t="s">
        <v>467</v>
      </c>
      <c r="C145" s="6" t="s">
        <v>93</v>
      </c>
      <c r="D145" s="6">
        <v>4987035555919</v>
      </c>
      <c r="E145" s="6" t="s">
        <v>461</v>
      </c>
      <c r="F145" s="6">
        <v>0</v>
      </c>
      <c r="G145" s="6">
        <v>2</v>
      </c>
      <c r="H145" s="9">
        <v>46446</v>
      </c>
      <c r="I145" s="8">
        <v>46212.502141203702</v>
      </c>
      <c r="J145" s="7" t="str">
        <f>IF(history[[#This Row],[在庫操作タイプ]]="注文",_xlfn.XLOOKUP(history[[#This Row],[商品ID]],stats[商品ID],stats[単価],"？"),"")</f>
        <v/>
      </c>
    </row>
    <row r="146" spans="1:10">
      <c r="A146" s="6" t="s">
        <v>569</v>
      </c>
      <c r="B146" s="6" t="s">
        <v>425</v>
      </c>
      <c r="C146" s="6" t="s">
        <v>32</v>
      </c>
      <c r="D146" s="6">
        <v>4901330578909</v>
      </c>
      <c r="E146" s="6" t="s">
        <v>461</v>
      </c>
      <c r="F146" s="6">
        <v>0</v>
      </c>
      <c r="G146" s="6">
        <v>10</v>
      </c>
      <c r="H146" s="9">
        <v>46184</v>
      </c>
      <c r="I146" s="8">
        <v>46212.502141203702</v>
      </c>
      <c r="J146" s="7" t="str">
        <f>IF(history[[#This Row],[在庫操作タイプ]]="注文",_xlfn.XLOOKUP(history[[#This Row],[商品ID]],stats[商品ID],stats[単価],"？"),"")</f>
        <v/>
      </c>
    </row>
    <row r="147" spans="1:10">
      <c r="A147" s="6" t="s">
        <v>570</v>
      </c>
      <c r="B147" s="6" t="s">
        <v>431</v>
      </c>
      <c r="C147" s="6" t="s">
        <v>15</v>
      </c>
      <c r="D147" s="6">
        <v>4901360358397</v>
      </c>
      <c r="E147" s="6" t="s">
        <v>461</v>
      </c>
      <c r="F147" s="6">
        <v>0</v>
      </c>
      <c r="G147" s="6">
        <v>4</v>
      </c>
      <c r="H147" s="9">
        <v>46538</v>
      </c>
      <c r="I147" s="8">
        <v>46212.502141203702</v>
      </c>
      <c r="J147" s="7" t="str">
        <f>IF(history[[#This Row],[在庫操作タイプ]]="注文",_xlfn.XLOOKUP(history[[#This Row],[商品ID]],stats[商品ID],stats[単価],"？"),"")</f>
        <v/>
      </c>
    </row>
    <row r="148" spans="1:10">
      <c r="A148" s="6" t="s">
        <v>571</v>
      </c>
      <c r="B148" s="6" t="s">
        <v>426</v>
      </c>
      <c r="C148" s="6" t="s">
        <v>13</v>
      </c>
      <c r="D148" s="6">
        <v>4901360358373</v>
      </c>
      <c r="E148" s="6" t="s">
        <v>461</v>
      </c>
      <c r="F148" s="6">
        <v>0</v>
      </c>
      <c r="G148" s="6">
        <v>5</v>
      </c>
      <c r="H148" s="9">
        <v>46538</v>
      </c>
      <c r="I148" s="8">
        <v>46212.502141203702</v>
      </c>
      <c r="J148" s="7" t="str">
        <f>IF(history[[#This Row],[在庫操作タイプ]]="注文",_xlfn.XLOOKUP(history[[#This Row],[商品ID]],stats[商品ID],stats[単価],"？"),"")</f>
        <v/>
      </c>
    </row>
    <row r="149" spans="1:10">
      <c r="A149" s="6" t="s">
        <v>572</v>
      </c>
      <c r="B149" s="6" t="s">
        <v>424</v>
      </c>
      <c r="C149" s="6" t="s">
        <v>18</v>
      </c>
      <c r="D149" s="6">
        <v>4977821321491</v>
      </c>
      <c r="E149" s="6" t="s">
        <v>461</v>
      </c>
      <c r="F149" s="6">
        <v>3</v>
      </c>
      <c r="G149" s="6">
        <v>6</v>
      </c>
      <c r="H149" s="9">
        <v>46271</v>
      </c>
      <c r="I149" s="8">
        <v>46212.502141203702</v>
      </c>
      <c r="J149" s="7" t="str">
        <f>IF(history[[#This Row],[在庫操作タイプ]]="注文",_xlfn.XLOOKUP(history[[#This Row],[商品ID]],stats[商品ID],stats[単価],"？"),"")</f>
        <v/>
      </c>
    </row>
    <row r="150" spans="1:10">
      <c r="A150" s="6" t="s">
        <v>573</v>
      </c>
      <c r="B150" s="6" t="s">
        <v>472</v>
      </c>
      <c r="C150" s="6" t="s">
        <v>473</v>
      </c>
      <c r="D150" s="6">
        <v>4987035684411</v>
      </c>
      <c r="E150" s="6" t="s">
        <v>461</v>
      </c>
      <c r="F150" s="6">
        <v>0</v>
      </c>
      <c r="G150" s="6">
        <v>3</v>
      </c>
      <c r="H150" s="9">
        <v>46477</v>
      </c>
      <c r="I150" s="8">
        <v>46212.502141203702</v>
      </c>
      <c r="J150" s="7" t="str">
        <f>IF(history[[#This Row],[在庫操作タイプ]]="注文",_xlfn.XLOOKUP(history[[#This Row],[商品ID]],stats[商品ID],stats[単価],"？"),"")</f>
        <v/>
      </c>
    </row>
    <row r="151" spans="1:10">
      <c r="A151" s="6" t="s">
        <v>574</v>
      </c>
      <c r="B151" s="6" t="s">
        <v>479</v>
      </c>
      <c r="C151" s="6" t="s">
        <v>480</v>
      </c>
      <c r="D151" s="6">
        <v>4987035043515</v>
      </c>
      <c r="E151" s="6" t="s">
        <v>461</v>
      </c>
      <c r="F151" s="6">
        <v>0</v>
      </c>
      <c r="G151" s="6">
        <v>3</v>
      </c>
      <c r="H151" s="9">
        <v>46477</v>
      </c>
      <c r="I151" s="8">
        <v>46212.502141203702</v>
      </c>
      <c r="J151" s="7" t="str">
        <f>IF(history[[#This Row],[在庫操作タイプ]]="注文",_xlfn.XLOOKUP(history[[#This Row],[商品ID]],stats[商品ID],stats[単価],"？"),"")</f>
        <v/>
      </c>
    </row>
    <row r="152" spans="1:10">
      <c r="A152" s="6" t="s">
        <v>575</v>
      </c>
      <c r="B152" s="6" t="s">
        <v>429</v>
      </c>
      <c r="C152" s="6" t="s">
        <v>49</v>
      </c>
      <c r="D152" s="6">
        <v>4901313207734</v>
      </c>
      <c r="E152" s="6" t="s">
        <v>461</v>
      </c>
      <c r="F152" s="6">
        <v>0</v>
      </c>
      <c r="G152" s="6">
        <v>6</v>
      </c>
      <c r="H152" s="9">
        <v>46356</v>
      </c>
      <c r="I152" s="8">
        <v>46212.502141203702</v>
      </c>
      <c r="J152" s="7" t="str">
        <f>IF(history[[#This Row],[在庫操作タイプ]]="注文",_xlfn.XLOOKUP(history[[#This Row],[商品ID]],stats[商品ID],stats[単価],"？"),"")</f>
        <v/>
      </c>
    </row>
    <row r="153" spans="1:10">
      <c r="A153" s="6" t="s">
        <v>576</v>
      </c>
      <c r="B153" s="6" t="s">
        <v>516</v>
      </c>
      <c r="C153" s="6" t="s">
        <v>517</v>
      </c>
      <c r="D153" s="6">
        <v>4901035222220</v>
      </c>
      <c r="E153" s="6" t="s">
        <v>461</v>
      </c>
      <c r="F153" s="6">
        <v>0</v>
      </c>
      <c r="G153" s="6">
        <v>10</v>
      </c>
      <c r="H153" s="9">
        <v>46387</v>
      </c>
      <c r="I153" s="8">
        <v>46212.502141203702</v>
      </c>
      <c r="J153" s="7" t="str">
        <f>IF(history[[#This Row],[在庫操作タイプ]]="注文",_xlfn.XLOOKUP(history[[#This Row],[商品ID]],stats[商品ID],stats[単価],"？"),"")</f>
        <v/>
      </c>
    </row>
    <row r="154" spans="1:10">
      <c r="A154" s="6" t="s">
        <v>577</v>
      </c>
      <c r="B154" s="6" t="s">
        <v>428</v>
      </c>
      <c r="C154" s="6" t="s">
        <v>35</v>
      </c>
      <c r="D154" s="6">
        <v>4902888232374</v>
      </c>
      <c r="E154" s="6" t="s">
        <v>461</v>
      </c>
      <c r="F154" s="6">
        <v>0</v>
      </c>
      <c r="G154" s="6">
        <v>4</v>
      </c>
      <c r="H154" s="9">
        <v>46142</v>
      </c>
      <c r="I154" s="8">
        <v>46212.502141203702</v>
      </c>
      <c r="J154" s="7" t="str">
        <f>IF(history[[#This Row],[在庫操作タイプ]]="注文",_xlfn.XLOOKUP(history[[#This Row],[商品ID]],stats[商品ID],stats[単価],"？"),"")</f>
        <v/>
      </c>
    </row>
    <row r="155" spans="1:10">
      <c r="A155" s="6" t="s">
        <v>578</v>
      </c>
      <c r="B155" s="6" t="s">
        <v>423</v>
      </c>
      <c r="C155" s="6" t="s">
        <v>96</v>
      </c>
      <c r="D155" s="6">
        <v>4987240618607</v>
      </c>
      <c r="E155" s="6" t="s">
        <v>461</v>
      </c>
      <c r="F155" s="6">
        <v>0</v>
      </c>
      <c r="G155" s="6">
        <v>5</v>
      </c>
      <c r="H155" s="9">
        <v>46660</v>
      </c>
      <c r="I155" s="8">
        <v>46212.502141203702</v>
      </c>
      <c r="J155" s="7" t="str">
        <f>IF(history[[#This Row],[在庫操作タイプ]]="注文",_xlfn.XLOOKUP(history[[#This Row],[商品ID]],stats[商品ID],stats[単価],"？"),"")</f>
        <v/>
      </c>
    </row>
    <row r="156" spans="1:10">
      <c r="A156" s="6" t="s">
        <v>132</v>
      </c>
      <c r="B156" s="6" t="s">
        <v>424</v>
      </c>
      <c r="C156" s="6" t="s">
        <v>18</v>
      </c>
      <c r="D156" s="6">
        <v>4977821321491</v>
      </c>
      <c r="E156" s="6" t="s">
        <v>448</v>
      </c>
      <c r="F156" s="6">
        <v>-1</v>
      </c>
      <c r="G156" s="6">
        <v>5</v>
      </c>
      <c r="H156" s="9">
        <v>46271</v>
      </c>
      <c r="I156" s="8">
        <v>46212.532314814816</v>
      </c>
      <c r="J156" s="7">
        <f>IF(history[[#This Row],[在庫操作タイプ]]="注文",_xlfn.XLOOKUP(history[[#This Row],[商品ID]],stats[商品ID],stats[単価],"？"),"")</f>
        <v>60</v>
      </c>
    </row>
    <row r="157" spans="1:10">
      <c r="A157" s="6" t="s">
        <v>134</v>
      </c>
      <c r="B157" s="6" t="s">
        <v>440</v>
      </c>
      <c r="C157" s="6" t="s">
        <v>128</v>
      </c>
      <c r="D157" s="6">
        <v>45075476</v>
      </c>
      <c r="E157" s="6" t="s">
        <v>448</v>
      </c>
      <c r="F157" s="6">
        <v>-1</v>
      </c>
      <c r="G157" s="6">
        <v>18</v>
      </c>
      <c r="H157" s="6"/>
      <c r="I157" s="8">
        <v>46212.556527777779</v>
      </c>
      <c r="J157" s="7">
        <f>IF(history[[#This Row],[在庫操作タイプ]]="注文",_xlfn.XLOOKUP(history[[#This Row],[商品ID]],stats[商品ID],stats[単価],"？"),"")</f>
        <v>185</v>
      </c>
    </row>
    <row r="158" spans="1:10">
      <c r="A158" s="6" t="s">
        <v>136</v>
      </c>
      <c r="B158" s="6" t="s">
        <v>432</v>
      </c>
      <c r="C158" s="6" t="s">
        <v>6</v>
      </c>
      <c r="D158" s="6">
        <v>4901588617511</v>
      </c>
      <c r="E158" s="6" t="s">
        <v>448</v>
      </c>
      <c r="F158" s="6">
        <v>-1</v>
      </c>
      <c r="G158" s="6">
        <v>4</v>
      </c>
      <c r="H158" s="9">
        <v>46485</v>
      </c>
      <c r="I158" s="8">
        <v>46212.59715277778</v>
      </c>
      <c r="J158" s="7">
        <f>IF(history[[#This Row],[在庫操作タイプ]]="注文",_xlfn.XLOOKUP(history[[#This Row],[商品ID]],stats[商品ID],stats[単価],"？"),"")</f>
        <v>51</v>
      </c>
    </row>
    <row r="159" spans="1:10">
      <c r="A159" s="6" t="s">
        <v>138</v>
      </c>
      <c r="B159" s="6" t="s">
        <v>424</v>
      </c>
      <c r="C159" s="6" t="s">
        <v>18</v>
      </c>
      <c r="D159" s="6">
        <v>4977821321491</v>
      </c>
      <c r="E159" s="6" t="s">
        <v>448</v>
      </c>
      <c r="F159" s="6">
        <v>-1</v>
      </c>
      <c r="G159" s="6">
        <v>4</v>
      </c>
      <c r="H159" s="9">
        <v>46271</v>
      </c>
      <c r="I159" s="8">
        <v>46212.606851851851</v>
      </c>
      <c r="J159" s="7">
        <f>IF(history[[#This Row],[在庫操作タイプ]]="注文",_xlfn.XLOOKUP(history[[#This Row],[商品ID]],stats[商品ID],stats[単価],"？"),"")</f>
        <v>60</v>
      </c>
    </row>
    <row r="160" spans="1:10">
      <c r="A160" s="6" t="s">
        <v>140</v>
      </c>
      <c r="B160" s="6" t="s">
        <v>432</v>
      </c>
      <c r="C160" s="6" t="s">
        <v>6</v>
      </c>
      <c r="D160" s="6">
        <v>4901588617511</v>
      </c>
      <c r="E160" s="6" t="s">
        <v>448</v>
      </c>
      <c r="F160" s="6">
        <v>-1</v>
      </c>
      <c r="G160" s="6">
        <v>3</v>
      </c>
      <c r="H160" s="9">
        <v>46485</v>
      </c>
      <c r="I160" s="8">
        <v>46212.652986111112</v>
      </c>
      <c r="J160" s="7">
        <f>IF(history[[#This Row],[在庫操作タイプ]]="注文",_xlfn.XLOOKUP(history[[#This Row],[商品ID]],stats[商品ID],stats[単価],"？"),"")</f>
        <v>51</v>
      </c>
    </row>
    <row r="161" spans="1:10">
      <c r="A161" s="6" t="s">
        <v>142</v>
      </c>
      <c r="B161" s="6" t="s">
        <v>425</v>
      </c>
      <c r="C161" s="6" t="s">
        <v>32</v>
      </c>
      <c r="D161" s="6">
        <v>4901330578909</v>
      </c>
      <c r="E161" s="6" t="s">
        <v>448</v>
      </c>
      <c r="F161" s="6">
        <v>-2</v>
      </c>
      <c r="G161" s="6">
        <v>8</v>
      </c>
      <c r="H161" s="9">
        <v>46184</v>
      </c>
      <c r="I161" s="8">
        <v>46212.786921296298</v>
      </c>
      <c r="J161" s="7">
        <f>IF(history[[#This Row],[在庫操作タイプ]]="注文",_xlfn.XLOOKUP(history[[#This Row],[商品ID]],stats[商品ID],stats[単価],"？"),"")</f>
        <v>201</v>
      </c>
    </row>
    <row r="162" spans="1:10">
      <c r="A162" s="6" t="s">
        <v>144</v>
      </c>
      <c r="B162" s="6" t="s">
        <v>428</v>
      </c>
      <c r="C162" s="6" t="s">
        <v>35</v>
      </c>
      <c r="D162" s="6">
        <v>4902888232374</v>
      </c>
      <c r="E162" s="6" t="s">
        <v>448</v>
      </c>
      <c r="F162" s="6">
        <v>-1</v>
      </c>
      <c r="G162" s="6">
        <v>3</v>
      </c>
      <c r="H162" s="9">
        <v>46142</v>
      </c>
      <c r="I162" s="8">
        <v>46212.843321759261</v>
      </c>
      <c r="J162" s="7">
        <f>IF(history[[#This Row],[在庫操作タイプ]]="注文",_xlfn.XLOOKUP(history[[#This Row],[商品ID]],stats[商品ID],stats[単価],"？"),"")</f>
        <v>134</v>
      </c>
    </row>
    <row r="163" spans="1:10">
      <c r="A163" s="6" t="s">
        <v>543</v>
      </c>
      <c r="B163" s="6" t="s">
        <v>467</v>
      </c>
      <c r="C163" s="6" t="s">
        <v>93</v>
      </c>
      <c r="D163" s="6">
        <v>4987035555919</v>
      </c>
      <c r="E163" s="6" t="s">
        <v>461</v>
      </c>
      <c r="F163" s="6">
        <v>0</v>
      </c>
      <c r="G163" s="6">
        <v>2</v>
      </c>
      <c r="H163" s="9">
        <v>46446</v>
      </c>
      <c r="I163" s="8">
        <v>46213.420636574076</v>
      </c>
      <c r="J163" s="7" t="str">
        <f>IF(history[[#This Row],[在庫操作タイプ]]="注文",_xlfn.XLOOKUP(history[[#This Row],[商品ID]],stats[商品ID],stats[単価],"？"),"")</f>
        <v/>
      </c>
    </row>
    <row r="164" spans="1:10">
      <c r="A164" s="6" t="s">
        <v>544</v>
      </c>
      <c r="B164" s="6" t="s">
        <v>431</v>
      </c>
      <c r="C164" s="6" t="s">
        <v>15</v>
      </c>
      <c r="D164" s="6">
        <v>4901360358397</v>
      </c>
      <c r="E164" s="6" t="s">
        <v>461</v>
      </c>
      <c r="F164" s="6">
        <v>10</v>
      </c>
      <c r="G164" s="6">
        <v>14</v>
      </c>
      <c r="H164" s="9">
        <v>46538</v>
      </c>
      <c r="I164" s="8">
        <v>46213.420636574076</v>
      </c>
      <c r="J164" s="7" t="str">
        <f>IF(history[[#This Row],[在庫操作タイプ]]="注文",_xlfn.XLOOKUP(history[[#This Row],[商品ID]],stats[商品ID],stats[単価],"？"),"")</f>
        <v/>
      </c>
    </row>
    <row r="165" spans="1:10">
      <c r="A165" s="6" t="s">
        <v>545</v>
      </c>
      <c r="B165" s="6" t="s">
        <v>516</v>
      </c>
      <c r="C165" s="6" t="s">
        <v>517</v>
      </c>
      <c r="D165" s="6">
        <v>4901035222220</v>
      </c>
      <c r="E165" s="6" t="s">
        <v>461</v>
      </c>
      <c r="F165" s="6">
        <v>0</v>
      </c>
      <c r="G165" s="6">
        <v>10</v>
      </c>
      <c r="H165" s="9">
        <v>46387</v>
      </c>
      <c r="I165" s="8">
        <v>46213.420636574076</v>
      </c>
      <c r="J165" s="7" t="str">
        <f>IF(history[[#This Row],[在庫操作タイプ]]="注文",_xlfn.XLOOKUP(history[[#This Row],[商品ID]],stats[商品ID],stats[単価],"？"),"")</f>
        <v/>
      </c>
    </row>
    <row r="166" spans="1:10">
      <c r="A166" s="6" t="s">
        <v>546</v>
      </c>
      <c r="B166" s="6" t="s">
        <v>428</v>
      </c>
      <c r="C166" s="6" t="s">
        <v>35</v>
      </c>
      <c r="D166" s="6">
        <v>4902888232374</v>
      </c>
      <c r="E166" s="6" t="s">
        <v>461</v>
      </c>
      <c r="F166" s="6">
        <v>6</v>
      </c>
      <c r="G166" s="6">
        <v>9</v>
      </c>
      <c r="H166" s="9">
        <v>46142</v>
      </c>
      <c r="I166" s="8">
        <v>46213.420636574076</v>
      </c>
      <c r="J166" s="7" t="str">
        <f>IF(history[[#This Row],[在庫操作タイプ]]="注文",_xlfn.XLOOKUP(history[[#This Row],[商品ID]],stats[商品ID],stats[単価],"？"),"")</f>
        <v/>
      </c>
    </row>
    <row r="167" spans="1:10">
      <c r="A167" s="6" t="s">
        <v>547</v>
      </c>
      <c r="B167" s="6" t="s">
        <v>423</v>
      </c>
      <c r="C167" s="6" t="s">
        <v>96</v>
      </c>
      <c r="D167" s="6">
        <v>4987240618607</v>
      </c>
      <c r="E167" s="6" t="s">
        <v>461</v>
      </c>
      <c r="F167" s="6">
        <v>0</v>
      </c>
      <c r="G167" s="6">
        <v>5</v>
      </c>
      <c r="H167" s="9">
        <v>46660</v>
      </c>
      <c r="I167" s="8">
        <v>46213.420636574076</v>
      </c>
      <c r="J167" s="7" t="str">
        <f>IF(history[[#This Row],[在庫操作タイプ]]="注文",_xlfn.XLOOKUP(history[[#This Row],[商品ID]],stats[商品ID],stats[単価],"？"),"")</f>
        <v/>
      </c>
    </row>
    <row r="168" spans="1:10">
      <c r="A168" s="6" t="s">
        <v>548</v>
      </c>
      <c r="B168" s="6" t="s">
        <v>424</v>
      </c>
      <c r="C168" s="6" t="s">
        <v>18</v>
      </c>
      <c r="D168" s="6">
        <v>4977821321491</v>
      </c>
      <c r="E168" s="6" t="s">
        <v>461</v>
      </c>
      <c r="F168" s="6">
        <v>7</v>
      </c>
      <c r="G168" s="6">
        <v>11</v>
      </c>
      <c r="H168" s="9">
        <v>46271</v>
      </c>
      <c r="I168" s="8">
        <v>46213.420636574076</v>
      </c>
      <c r="J168" s="7" t="str">
        <f>IF(history[[#This Row],[在庫操作タイプ]]="注文",_xlfn.XLOOKUP(history[[#This Row],[商品ID]],stats[商品ID],stats[単価],"？"),"")</f>
        <v/>
      </c>
    </row>
    <row r="169" spans="1:10">
      <c r="A169" s="6" t="s">
        <v>549</v>
      </c>
      <c r="B169" s="6" t="s">
        <v>427</v>
      </c>
      <c r="C169" s="6" t="s">
        <v>46</v>
      </c>
      <c r="D169" s="6">
        <v>4901984088281</v>
      </c>
      <c r="E169" s="6" t="s">
        <v>461</v>
      </c>
      <c r="F169" s="6">
        <v>0</v>
      </c>
      <c r="G169" s="6">
        <v>15</v>
      </c>
      <c r="H169" s="9">
        <v>46377</v>
      </c>
      <c r="I169" s="8">
        <v>46213.420636574076</v>
      </c>
      <c r="J169" s="7" t="str">
        <f>IF(history[[#This Row],[在庫操作タイプ]]="注文",_xlfn.XLOOKUP(history[[#This Row],[商品ID]],stats[商品ID],stats[単価],"？"),"")</f>
        <v/>
      </c>
    </row>
    <row r="170" spans="1:10">
      <c r="A170" s="6" t="s">
        <v>550</v>
      </c>
      <c r="B170" s="6" t="s">
        <v>430</v>
      </c>
      <c r="C170" s="6" t="s">
        <v>206</v>
      </c>
      <c r="D170" s="6">
        <v>4901360351466</v>
      </c>
      <c r="E170" s="6" t="s">
        <v>461</v>
      </c>
      <c r="F170" s="6">
        <v>0</v>
      </c>
      <c r="G170" s="6">
        <v>10</v>
      </c>
      <c r="H170" s="9">
        <v>46477</v>
      </c>
      <c r="I170" s="8">
        <v>46213.420636574076</v>
      </c>
      <c r="J170" s="7" t="str">
        <f>IF(history[[#This Row],[在庫操作タイプ]]="注文",_xlfn.XLOOKUP(history[[#This Row],[商品ID]],stats[商品ID],stats[単価],"？"),"")</f>
        <v/>
      </c>
    </row>
    <row r="171" spans="1:10">
      <c r="A171" s="6" t="s">
        <v>551</v>
      </c>
      <c r="B171" s="6" t="s">
        <v>432</v>
      </c>
      <c r="C171" s="6" t="s">
        <v>6</v>
      </c>
      <c r="D171" s="6">
        <v>4901588617511</v>
      </c>
      <c r="E171" s="6" t="s">
        <v>461</v>
      </c>
      <c r="F171" s="6">
        <v>15</v>
      </c>
      <c r="G171" s="6">
        <v>18</v>
      </c>
      <c r="H171" s="9">
        <v>46485</v>
      </c>
      <c r="I171" s="8">
        <v>46213.420636574076</v>
      </c>
      <c r="J171" s="7" t="str">
        <f>IF(history[[#This Row],[在庫操作タイプ]]="注文",_xlfn.XLOOKUP(history[[#This Row],[商品ID]],stats[商品ID],stats[単価],"？"),"")</f>
        <v/>
      </c>
    </row>
    <row r="172" spans="1:10">
      <c r="A172" s="6" t="s">
        <v>552</v>
      </c>
      <c r="B172" s="6" t="s">
        <v>433</v>
      </c>
      <c r="C172" s="6" t="s">
        <v>11</v>
      </c>
      <c r="D172" s="6">
        <v>49328714</v>
      </c>
      <c r="E172" s="6" t="s">
        <v>461</v>
      </c>
      <c r="F172" s="6">
        <v>0</v>
      </c>
      <c r="G172" s="6">
        <v>14</v>
      </c>
      <c r="H172" s="9">
        <v>46292</v>
      </c>
      <c r="I172" s="8">
        <v>46213.420636574076</v>
      </c>
      <c r="J172" s="7" t="str">
        <f>IF(history[[#This Row],[在庫操作タイプ]]="注文",_xlfn.XLOOKUP(history[[#This Row],[商品ID]],stats[商品ID],stats[単価],"？"),"")</f>
        <v/>
      </c>
    </row>
    <row r="173" spans="1:10">
      <c r="A173" s="6" t="s">
        <v>553</v>
      </c>
      <c r="B173" s="6" t="s">
        <v>479</v>
      </c>
      <c r="C173" s="6" t="s">
        <v>480</v>
      </c>
      <c r="D173" s="6">
        <v>4987035043515</v>
      </c>
      <c r="E173" s="6" t="s">
        <v>461</v>
      </c>
      <c r="F173" s="6">
        <v>0</v>
      </c>
      <c r="G173" s="6">
        <v>3</v>
      </c>
      <c r="H173" s="9">
        <v>46477</v>
      </c>
      <c r="I173" s="8">
        <v>46213.420636574076</v>
      </c>
      <c r="J173" s="7" t="str">
        <f>IF(history[[#This Row],[在庫操作タイプ]]="注文",_xlfn.XLOOKUP(history[[#This Row],[商品ID]],stats[商品ID],stats[単価],"？"),"")</f>
        <v/>
      </c>
    </row>
    <row r="174" spans="1:10">
      <c r="A174" s="6" t="s">
        <v>554</v>
      </c>
      <c r="B174" s="6" t="s">
        <v>472</v>
      </c>
      <c r="C174" s="6" t="s">
        <v>473</v>
      </c>
      <c r="D174" s="6">
        <v>4987035684411</v>
      </c>
      <c r="E174" s="6" t="s">
        <v>461</v>
      </c>
      <c r="F174" s="6">
        <v>0</v>
      </c>
      <c r="G174" s="6">
        <v>3</v>
      </c>
      <c r="H174" s="9">
        <v>46477</v>
      </c>
      <c r="I174" s="8">
        <v>46213.420636574076</v>
      </c>
      <c r="J174" s="7" t="str">
        <f>IF(history[[#This Row],[在庫操作タイプ]]="注文",_xlfn.XLOOKUP(history[[#This Row],[商品ID]],stats[商品ID],stats[単価],"？"),"")</f>
        <v/>
      </c>
    </row>
    <row r="175" spans="1:10">
      <c r="A175" s="6" t="s">
        <v>555</v>
      </c>
      <c r="B175" s="6" t="s">
        <v>470</v>
      </c>
      <c r="C175" s="6" t="s">
        <v>62</v>
      </c>
      <c r="D175" s="6">
        <v>49698626</v>
      </c>
      <c r="E175" s="6" t="s">
        <v>461</v>
      </c>
      <c r="F175" s="6">
        <v>0</v>
      </c>
      <c r="G175" s="6">
        <v>2</v>
      </c>
      <c r="H175" s="9">
        <v>46334</v>
      </c>
      <c r="I175" s="8">
        <v>46213.420636574076</v>
      </c>
      <c r="J175" s="7" t="str">
        <f>IF(history[[#This Row],[在庫操作タイプ]]="注文",_xlfn.XLOOKUP(history[[#This Row],[商品ID]],stats[商品ID],stats[単価],"？"),"")</f>
        <v/>
      </c>
    </row>
    <row r="176" spans="1:10">
      <c r="A176" s="6" t="s">
        <v>556</v>
      </c>
      <c r="B176" s="6" t="s">
        <v>426</v>
      </c>
      <c r="C176" s="6" t="s">
        <v>13</v>
      </c>
      <c r="D176" s="6">
        <v>4901360358373</v>
      </c>
      <c r="E176" s="6" t="s">
        <v>461</v>
      </c>
      <c r="F176" s="6">
        <v>10</v>
      </c>
      <c r="G176" s="6">
        <v>15</v>
      </c>
      <c r="H176" s="9">
        <v>46538</v>
      </c>
      <c r="I176" s="8">
        <v>46213.420636574076</v>
      </c>
      <c r="J176" s="7" t="str">
        <f>IF(history[[#This Row],[在庫操作タイプ]]="注文",_xlfn.XLOOKUP(history[[#This Row],[商品ID]],stats[商品ID],stats[単価],"？"),"")</f>
        <v/>
      </c>
    </row>
    <row r="177" spans="1:10">
      <c r="A177" s="6" t="s">
        <v>557</v>
      </c>
      <c r="B177" s="6" t="s">
        <v>441</v>
      </c>
      <c r="C177" s="6" t="s">
        <v>415</v>
      </c>
      <c r="D177" s="6">
        <v>49698633</v>
      </c>
      <c r="E177" s="6" t="s">
        <v>461</v>
      </c>
      <c r="F177" s="6">
        <v>0</v>
      </c>
      <c r="G177" s="6">
        <v>3</v>
      </c>
      <c r="H177" s="9">
        <v>46348</v>
      </c>
      <c r="I177" s="8">
        <v>46213.420636574076</v>
      </c>
      <c r="J177" s="7" t="str">
        <f>IF(history[[#This Row],[在庫操作タイプ]]="注文",_xlfn.XLOOKUP(history[[#This Row],[商品ID]],stats[商品ID],stats[単価],"？"),"")</f>
        <v/>
      </c>
    </row>
    <row r="178" spans="1:10">
      <c r="A178" s="6" t="s">
        <v>558</v>
      </c>
      <c r="B178" s="6" t="s">
        <v>475</v>
      </c>
      <c r="C178" s="6" t="s">
        <v>476</v>
      </c>
      <c r="D178" s="6">
        <v>4901071268374</v>
      </c>
      <c r="E178" s="6" t="s">
        <v>461</v>
      </c>
      <c r="F178" s="6">
        <v>0</v>
      </c>
      <c r="G178" s="6">
        <v>3</v>
      </c>
      <c r="H178" s="9">
        <v>46342</v>
      </c>
      <c r="I178" s="8">
        <v>46213.420636574076</v>
      </c>
      <c r="J178" s="7" t="str">
        <f>IF(history[[#This Row],[在庫操作タイプ]]="注文",_xlfn.XLOOKUP(history[[#This Row],[商品ID]],stats[商品ID],stats[単価],"？"),"")</f>
        <v/>
      </c>
    </row>
    <row r="179" spans="1:10">
      <c r="A179" s="6" t="s">
        <v>559</v>
      </c>
      <c r="B179" s="6" t="s">
        <v>429</v>
      </c>
      <c r="C179" s="6" t="s">
        <v>49</v>
      </c>
      <c r="D179" s="6">
        <v>4901313207734</v>
      </c>
      <c r="E179" s="6" t="s">
        <v>461</v>
      </c>
      <c r="F179" s="6">
        <v>0</v>
      </c>
      <c r="G179" s="6">
        <v>6</v>
      </c>
      <c r="H179" s="9">
        <v>46356</v>
      </c>
      <c r="I179" s="8">
        <v>46213.420636574076</v>
      </c>
      <c r="J179" s="7" t="str">
        <f>IF(history[[#This Row],[在庫操作タイプ]]="注文",_xlfn.XLOOKUP(history[[#This Row],[商品ID]],stats[商品ID],stats[単価],"？"),"")</f>
        <v/>
      </c>
    </row>
    <row r="180" spans="1:10">
      <c r="A180" s="6" t="s">
        <v>560</v>
      </c>
      <c r="B180" s="6" t="s">
        <v>425</v>
      </c>
      <c r="C180" s="6" t="s">
        <v>32</v>
      </c>
      <c r="D180" s="6">
        <v>4901330578909</v>
      </c>
      <c r="E180" s="6" t="s">
        <v>461</v>
      </c>
      <c r="F180" s="6">
        <v>0</v>
      </c>
      <c r="G180" s="6">
        <v>8</v>
      </c>
      <c r="H180" s="9">
        <v>46184</v>
      </c>
      <c r="I180" s="8">
        <v>46213.420636574076</v>
      </c>
      <c r="J180" s="7" t="str">
        <f>IF(history[[#This Row],[在庫操作タイプ]]="注文",_xlfn.XLOOKUP(history[[#This Row],[商品ID]],stats[商品ID],stats[単価],"？"),"")</f>
        <v/>
      </c>
    </row>
    <row r="181" spans="1:10">
      <c r="A181" s="6" t="s">
        <v>146</v>
      </c>
      <c r="B181" s="6" t="s">
        <v>433</v>
      </c>
      <c r="C181" s="6" t="s">
        <v>11</v>
      </c>
      <c r="D181" s="6">
        <v>49328714</v>
      </c>
      <c r="E181" s="6" t="s">
        <v>448</v>
      </c>
      <c r="F181" s="6">
        <v>-2</v>
      </c>
      <c r="G181" s="6">
        <v>12</v>
      </c>
      <c r="H181" s="9">
        <v>46292</v>
      </c>
      <c r="I181" s="8">
        <v>46213.424074074072</v>
      </c>
      <c r="J181" s="7">
        <f>IF(history[[#This Row],[在庫操作タイプ]]="注文",_xlfn.XLOOKUP(history[[#This Row],[商品ID]],stats[商品ID],stats[単価],"？"),"")</f>
        <v>41</v>
      </c>
    </row>
    <row r="182" spans="1:10">
      <c r="A182" s="6" t="s">
        <v>148</v>
      </c>
      <c r="B182" s="6" t="s">
        <v>426</v>
      </c>
      <c r="C182" s="6" t="s">
        <v>13</v>
      </c>
      <c r="D182" s="6">
        <v>4901360358373</v>
      </c>
      <c r="E182" s="6" t="s">
        <v>448</v>
      </c>
      <c r="F182" s="6">
        <v>-1</v>
      </c>
      <c r="G182" s="6">
        <v>14</v>
      </c>
      <c r="H182" s="9">
        <v>46538</v>
      </c>
      <c r="I182" s="8">
        <v>46213.424074074072</v>
      </c>
      <c r="J182" s="7">
        <f>IF(history[[#This Row],[在庫操作タイプ]]="注文",_xlfn.XLOOKUP(history[[#This Row],[商品ID]],stats[商品ID],stats[単価],"？"),"")</f>
        <v>82</v>
      </c>
    </row>
    <row r="183" spans="1:10">
      <c r="A183" s="6" t="s">
        <v>149</v>
      </c>
      <c r="B183" s="6" t="s">
        <v>431</v>
      </c>
      <c r="C183" s="6" t="s">
        <v>15</v>
      </c>
      <c r="D183" s="6">
        <v>4901360358397</v>
      </c>
      <c r="E183" s="6" t="s">
        <v>448</v>
      </c>
      <c r="F183" s="6">
        <v>-1</v>
      </c>
      <c r="G183" s="6">
        <v>13</v>
      </c>
      <c r="H183" s="9">
        <v>46538</v>
      </c>
      <c r="I183" s="8">
        <v>46213.497349537036</v>
      </c>
      <c r="J183" s="7">
        <f>IF(history[[#This Row],[在庫操作タイプ]]="注文",_xlfn.XLOOKUP(history[[#This Row],[商品ID]],stats[商品ID],stats[単価],"？"),"")</f>
        <v>82</v>
      </c>
    </row>
    <row r="184" spans="1:10">
      <c r="A184" s="6" t="s">
        <v>151</v>
      </c>
      <c r="B184" s="6" t="s">
        <v>427</v>
      </c>
      <c r="C184" s="6" t="s">
        <v>46</v>
      </c>
      <c r="D184" s="6">
        <v>4901984088281</v>
      </c>
      <c r="E184" s="6" t="s">
        <v>448</v>
      </c>
      <c r="F184" s="6">
        <v>-1</v>
      </c>
      <c r="G184" s="6">
        <v>14</v>
      </c>
      <c r="H184" s="9">
        <v>46377</v>
      </c>
      <c r="I184" s="8">
        <v>46213.497349537036</v>
      </c>
      <c r="J184" s="7">
        <f>IF(history[[#This Row],[在庫操作タイプ]]="注文",_xlfn.XLOOKUP(history[[#This Row],[商品ID]],stats[商品ID],stats[単価],"？"),"")</f>
        <v>41</v>
      </c>
    </row>
    <row r="185" spans="1:10">
      <c r="A185" s="6" t="s">
        <v>152</v>
      </c>
      <c r="B185" s="6" t="s">
        <v>426</v>
      </c>
      <c r="C185" s="6" t="s">
        <v>13</v>
      </c>
      <c r="D185" s="6">
        <v>4901360358373</v>
      </c>
      <c r="E185" s="6" t="s">
        <v>448</v>
      </c>
      <c r="F185" s="6">
        <v>-1</v>
      </c>
      <c r="G185" s="6">
        <v>13</v>
      </c>
      <c r="H185" s="9">
        <v>46538</v>
      </c>
      <c r="I185" s="8">
        <v>46213.679583333331</v>
      </c>
      <c r="J185" s="7">
        <f>IF(history[[#This Row],[在庫操作タイプ]]="注文",_xlfn.XLOOKUP(history[[#This Row],[商品ID]],stats[商品ID],stats[単価],"？"),"")</f>
        <v>82</v>
      </c>
    </row>
    <row r="186" spans="1:10">
      <c r="A186" s="6" t="s">
        <v>154</v>
      </c>
      <c r="B186" s="6" t="s">
        <v>427</v>
      </c>
      <c r="C186" s="6" t="s">
        <v>46</v>
      </c>
      <c r="D186" s="6">
        <v>4901984088281</v>
      </c>
      <c r="E186" s="6" t="s">
        <v>448</v>
      </c>
      <c r="F186" s="6">
        <v>-2</v>
      </c>
      <c r="G186" s="6">
        <v>12</v>
      </c>
      <c r="H186" s="9">
        <v>46377</v>
      </c>
      <c r="I186" s="8">
        <v>46213.689201388886</v>
      </c>
      <c r="J186" s="7">
        <f>IF(history[[#This Row],[在庫操作タイプ]]="注文",_xlfn.XLOOKUP(history[[#This Row],[商品ID]],stats[商品ID],stats[単価],"？"),"")</f>
        <v>41</v>
      </c>
    </row>
    <row r="187" spans="1:10">
      <c r="A187" s="6" t="s">
        <v>156</v>
      </c>
      <c r="B187" s="6" t="s">
        <v>429</v>
      </c>
      <c r="C187" s="6" t="s">
        <v>49</v>
      </c>
      <c r="D187" s="6">
        <v>4901313207734</v>
      </c>
      <c r="E187" s="6" t="s">
        <v>448</v>
      </c>
      <c r="F187" s="6">
        <v>-1</v>
      </c>
      <c r="G187" s="6">
        <v>5</v>
      </c>
      <c r="H187" s="9">
        <v>46356</v>
      </c>
      <c r="I187" s="8">
        <v>46213.749155092592</v>
      </c>
      <c r="J187" s="7">
        <f>IF(history[[#This Row],[在庫操作タイプ]]="注文",_xlfn.XLOOKUP(history[[#This Row],[商品ID]],stats[商品ID],stats[単価],"？"),"")</f>
        <v>62</v>
      </c>
    </row>
    <row r="188" spans="1:10">
      <c r="A188" s="6" t="s">
        <v>158</v>
      </c>
      <c r="B188" s="6" t="s">
        <v>429</v>
      </c>
      <c r="C188" s="6" t="s">
        <v>49</v>
      </c>
      <c r="D188" s="6">
        <v>4901313207734</v>
      </c>
      <c r="E188" s="6" t="s">
        <v>448</v>
      </c>
      <c r="F188" s="6">
        <v>-1</v>
      </c>
      <c r="G188" s="6">
        <v>4</v>
      </c>
      <c r="H188" s="9">
        <v>46356</v>
      </c>
      <c r="I188" s="8">
        <v>46213.749189814815</v>
      </c>
      <c r="J188" s="7">
        <f>IF(history[[#This Row],[在庫操作タイプ]]="注文",_xlfn.XLOOKUP(history[[#This Row],[商品ID]],stats[商品ID],stats[単価],"？"),"")</f>
        <v>62</v>
      </c>
    </row>
    <row r="189" spans="1:10">
      <c r="A189" s="6" t="s">
        <v>160</v>
      </c>
      <c r="B189" s="6" t="s">
        <v>422</v>
      </c>
      <c r="C189" s="6" t="s">
        <v>21</v>
      </c>
      <c r="D189" s="6">
        <v>45075469</v>
      </c>
      <c r="E189" s="6" t="s">
        <v>448</v>
      </c>
      <c r="F189" s="6">
        <v>-1</v>
      </c>
      <c r="G189" s="6">
        <v>16</v>
      </c>
      <c r="H189" s="6"/>
      <c r="I189" s="8">
        <v>46216.416064814817</v>
      </c>
      <c r="J189" s="7">
        <f>IF(history[[#This Row],[在庫操作タイプ]]="注文",_xlfn.XLOOKUP(history[[#This Row],[商品ID]],stats[商品ID],stats[単価],"？"),"")</f>
        <v>185</v>
      </c>
    </row>
    <row r="190" spans="1:10">
      <c r="A190" s="6" t="s">
        <v>162</v>
      </c>
      <c r="B190" s="6" t="s">
        <v>432</v>
      </c>
      <c r="C190" s="6" t="s">
        <v>6</v>
      </c>
      <c r="D190" s="6">
        <v>4901588617511</v>
      </c>
      <c r="E190" s="6" t="s">
        <v>448</v>
      </c>
      <c r="F190" s="6">
        <v>-1</v>
      </c>
      <c r="G190" s="6">
        <v>17</v>
      </c>
      <c r="H190" s="9">
        <v>46485</v>
      </c>
      <c r="I190" s="8">
        <v>46216.497685185182</v>
      </c>
      <c r="J190" s="7">
        <f>IF(history[[#This Row],[在庫操作タイプ]]="注文",_xlfn.XLOOKUP(history[[#This Row],[商品ID]],stats[商品ID],stats[単価],"？"),"")</f>
        <v>51</v>
      </c>
    </row>
    <row r="191" spans="1:10">
      <c r="A191" s="6" t="s">
        <v>164</v>
      </c>
      <c r="B191" s="6" t="s">
        <v>424</v>
      </c>
      <c r="C191" s="6" t="s">
        <v>18</v>
      </c>
      <c r="D191" s="6">
        <v>4977821321491</v>
      </c>
      <c r="E191" s="6" t="s">
        <v>448</v>
      </c>
      <c r="F191" s="6">
        <v>-1</v>
      </c>
      <c r="G191" s="6">
        <v>10</v>
      </c>
      <c r="H191" s="6"/>
      <c r="I191" s="8">
        <v>46216.648634259262</v>
      </c>
      <c r="J191" s="7">
        <f>IF(history[[#This Row],[在庫操作タイプ]]="注文",_xlfn.XLOOKUP(history[[#This Row],[商品ID]],stats[商品ID],stats[単価],"？"),"")</f>
        <v>60</v>
      </c>
    </row>
    <row r="192" spans="1:10">
      <c r="A192" s="6" t="s">
        <v>166</v>
      </c>
      <c r="B192" s="6" t="s">
        <v>423</v>
      </c>
      <c r="C192" s="6" t="s">
        <v>96</v>
      </c>
      <c r="D192" s="6">
        <v>4987240618607</v>
      </c>
      <c r="E192" s="6" t="s">
        <v>448</v>
      </c>
      <c r="F192" s="6">
        <v>-1</v>
      </c>
      <c r="G192" s="6">
        <v>4</v>
      </c>
      <c r="H192" s="9">
        <v>46660</v>
      </c>
      <c r="I192" s="8">
        <v>46216.649178240739</v>
      </c>
      <c r="J192" s="7">
        <f>IF(history[[#This Row],[在庫操作タイプ]]="注文",_xlfn.XLOOKUP(history[[#This Row],[商品ID]],stats[商品ID],stats[単価],"？"),"")</f>
        <v>288</v>
      </c>
    </row>
    <row r="193" spans="1:10">
      <c r="A193" s="6" t="s">
        <v>168</v>
      </c>
      <c r="B193" s="6" t="s">
        <v>426</v>
      </c>
      <c r="C193" s="6" t="s">
        <v>13</v>
      </c>
      <c r="D193" s="6">
        <v>4901360358373</v>
      </c>
      <c r="E193" s="6" t="s">
        <v>448</v>
      </c>
      <c r="F193" s="6">
        <v>-1</v>
      </c>
      <c r="G193" s="6">
        <v>12</v>
      </c>
      <c r="H193" s="9">
        <v>46538</v>
      </c>
      <c r="I193" s="8">
        <v>46216.686712962961</v>
      </c>
      <c r="J193" s="7">
        <f>IF(history[[#This Row],[在庫操作タイプ]]="注文",_xlfn.XLOOKUP(history[[#This Row],[商品ID]],stats[商品ID],stats[単価],"？"),"")</f>
        <v>82</v>
      </c>
    </row>
    <row r="194" spans="1:10">
      <c r="A194" s="6" t="s">
        <v>170</v>
      </c>
      <c r="B194" s="6" t="s">
        <v>433</v>
      </c>
      <c r="C194" s="6" t="s">
        <v>11</v>
      </c>
      <c r="D194" s="6">
        <v>49328714</v>
      </c>
      <c r="E194" s="6" t="s">
        <v>448</v>
      </c>
      <c r="F194" s="6">
        <v>-1</v>
      </c>
      <c r="G194" s="6">
        <v>11</v>
      </c>
      <c r="H194" s="9">
        <v>46292</v>
      </c>
      <c r="I194" s="8">
        <v>46216.686712962961</v>
      </c>
      <c r="J194" s="7">
        <f>IF(history[[#This Row],[在庫操作タイプ]]="注文",_xlfn.XLOOKUP(history[[#This Row],[商品ID]],stats[商品ID],stats[単価],"？"),"")</f>
        <v>41</v>
      </c>
    </row>
    <row r="195" spans="1:10">
      <c r="A195" s="6" t="s">
        <v>171</v>
      </c>
      <c r="B195" s="6" t="s">
        <v>424</v>
      </c>
      <c r="C195" s="6" t="s">
        <v>18</v>
      </c>
      <c r="D195" s="6">
        <v>4977821321491</v>
      </c>
      <c r="E195" s="6" t="s">
        <v>448</v>
      </c>
      <c r="F195" s="6">
        <v>-1</v>
      </c>
      <c r="G195" s="6">
        <v>9</v>
      </c>
      <c r="H195" s="6"/>
      <c r="I195" s="8">
        <v>46216.711967592593</v>
      </c>
      <c r="J195" s="7">
        <f>IF(history[[#This Row],[在庫操作タイプ]]="注文",_xlfn.XLOOKUP(history[[#This Row],[商品ID]],stats[商品ID],stats[単価],"？"),"")</f>
        <v>60</v>
      </c>
    </row>
    <row r="196" spans="1:10">
      <c r="A196" s="6" t="s">
        <v>672</v>
      </c>
      <c r="B196" s="6" t="s">
        <v>479</v>
      </c>
      <c r="C196" s="6" t="s">
        <v>480</v>
      </c>
      <c r="D196" s="6">
        <v>4987035043515</v>
      </c>
      <c r="E196" s="6" t="s">
        <v>450</v>
      </c>
      <c r="F196" s="6">
        <v>0</v>
      </c>
      <c r="G196" s="6">
        <v>3</v>
      </c>
      <c r="H196" s="9">
        <v>46477</v>
      </c>
      <c r="I196" s="8">
        <v>46216.728981481479</v>
      </c>
      <c r="J196" s="7" t="str">
        <f>IF(history[[#This Row],[在庫操作タイプ]]="注文",_xlfn.XLOOKUP(history[[#This Row],[商品ID]],stats[商品ID],stats[単価],"？"),"")</f>
        <v/>
      </c>
    </row>
    <row r="197" spans="1:10">
      <c r="A197" s="6" t="s">
        <v>673</v>
      </c>
      <c r="B197" s="6" t="s">
        <v>426</v>
      </c>
      <c r="C197" s="6" t="s">
        <v>13</v>
      </c>
      <c r="D197" s="6">
        <v>4901360358373</v>
      </c>
      <c r="E197" s="6" t="s">
        <v>450</v>
      </c>
      <c r="F197" s="6">
        <v>0</v>
      </c>
      <c r="G197" s="6">
        <v>12</v>
      </c>
      <c r="H197" s="9">
        <v>46538</v>
      </c>
      <c r="I197" s="8">
        <v>46216.728981481479</v>
      </c>
      <c r="J197" s="7" t="str">
        <f>IF(history[[#This Row],[在庫操作タイプ]]="注文",_xlfn.XLOOKUP(history[[#This Row],[商品ID]],stats[商品ID],stats[単価],"？"),"")</f>
        <v/>
      </c>
    </row>
    <row r="198" spans="1:10">
      <c r="A198" s="6" t="s">
        <v>674</v>
      </c>
      <c r="B198" s="6" t="s">
        <v>422</v>
      </c>
      <c r="C198" s="6" t="s">
        <v>21</v>
      </c>
      <c r="D198" s="6">
        <v>45075469</v>
      </c>
      <c r="E198" s="6" t="s">
        <v>450</v>
      </c>
      <c r="F198" s="6">
        <v>0</v>
      </c>
      <c r="G198" s="6">
        <v>16</v>
      </c>
      <c r="H198" s="6"/>
      <c r="I198" s="8">
        <v>46216.728981481479</v>
      </c>
      <c r="J198" s="7" t="str">
        <f>IF(history[[#This Row],[在庫操作タイプ]]="注文",_xlfn.XLOOKUP(history[[#This Row],[商品ID]],stats[商品ID],stats[単価],"？"),"")</f>
        <v/>
      </c>
    </row>
    <row r="199" spans="1:10">
      <c r="A199" s="6" t="s">
        <v>675</v>
      </c>
      <c r="B199" s="6" t="s">
        <v>440</v>
      </c>
      <c r="C199" s="6" t="s">
        <v>128</v>
      </c>
      <c r="D199" s="6">
        <v>45075476</v>
      </c>
      <c r="E199" s="6" t="s">
        <v>450</v>
      </c>
      <c r="F199" s="6">
        <v>0</v>
      </c>
      <c r="G199" s="6">
        <v>18</v>
      </c>
      <c r="H199" s="6"/>
      <c r="I199" s="8">
        <v>46216.728981481479</v>
      </c>
      <c r="J199" s="7" t="str">
        <f>IF(history[[#This Row],[在庫操作タイプ]]="注文",_xlfn.XLOOKUP(history[[#This Row],[商品ID]],stats[商品ID],stats[単価],"？"),"")</f>
        <v/>
      </c>
    </row>
    <row r="200" spans="1:10">
      <c r="A200" s="6" t="s">
        <v>676</v>
      </c>
      <c r="B200" s="6" t="s">
        <v>427</v>
      </c>
      <c r="C200" s="6" t="s">
        <v>46</v>
      </c>
      <c r="D200" s="6">
        <v>4901984088281</v>
      </c>
      <c r="E200" s="6" t="s">
        <v>450</v>
      </c>
      <c r="F200" s="6">
        <v>0</v>
      </c>
      <c r="G200" s="6">
        <v>12</v>
      </c>
      <c r="H200" s="9">
        <v>46377</v>
      </c>
      <c r="I200" s="8">
        <v>46216.728981481479</v>
      </c>
      <c r="J200" s="7" t="str">
        <f>IF(history[[#This Row],[在庫操作タイプ]]="注文",_xlfn.XLOOKUP(history[[#This Row],[商品ID]],stats[商品ID],stats[単価],"？"),"")</f>
        <v/>
      </c>
    </row>
    <row r="201" spans="1:10">
      <c r="A201" s="6" t="s">
        <v>677</v>
      </c>
      <c r="B201" s="6" t="s">
        <v>441</v>
      </c>
      <c r="C201" s="6" t="s">
        <v>415</v>
      </c>
      <c r="D201" s="6">
        <v>49698633</v>
      </c>
      <c r="E201" s="6" t="s">
        <v>450</v>
      </c>
      <c r="F201" s="6">
        <v>0</v>
      </c>
      <c r="G201" s="6">
        <v>3</v>
      </c>
      <c r="H201" s="9">
        <v>46348</v>
      </c>
      <c r="I201" s="8">
        <v>46216.728981481479</v>
      </c>
      <c r="J201" s="7" t="str">
        <f>IF(history[[#This Row],[在庫操作タイプ]]="注文",_xlfn.XLOOKUP(history[[#This Row],[商品ID]],stats[商品ID],stats[単価],"？"),"")</f>
        <v/>
      </c>
    </row>
    <row r="202" spans="1:10">
      <c r="A202" s="6" t="s">
        <v>678</v>
      </c>
      <c r="B202" s="6" t="s">
        <v>516</v>
      </c>
      <c r="C202" s="6" t="s">
        <v>517</v>
      </c>
      <c r="D202" s="6">
        <v>4901035222220</v>
      </c>
      <c r="E202" s="6" t="s">
        <v>450</v>
      </c>
      <c r="F202" s="6">
        <v>0</v>
      </c>
      <c r="G202" s="6">
        <v>10</v>
      </c>
      <c r="H202" s="9">
        <v>46387</v>
      </c>
      <c r="I202" s="8">
        <v>46216.728981481479</v>
      </c>
      <c r="J202" s="7" t="str">
        <f>IF(history[[#This Row],[在庫操作タイプ]]="注文",_xlfn.XLOOKUP(history[[#This Row],[商品ID]],stats[商品ID],stats[単価],"？"),"")</f>
        <v/>
      </c>
    </row>
    <row r="203" spans="1:10">
      <c r="A203" s="6" t="s">
        <v>679</v>
      </c>
      <c r="B203" s="6" t="s">
        <v>430</v>
      </c>
      <c r="C203" s="6" t="s">
        <v>206</v>
      </c>
      <c r="D203" s="6">
        <v>4901360351466</v>
      </c>
      <c r="E203" s="6" t="s">
        <v>450</v>
      </c>
      <c r="F203" s="6">
        <v>0</v>
      </c>
      <c r="G203" s="6">
        <v>10</v>
      </c>
      <c r="H203" s="9">
        <v>46477</v>
      </c>
      <c r="I203" s="8">
        <v>46216.728981481479</v>
      </c>
      <c r="J203" s="7" t="str">
        <f>IF(history[[#This Row],[在庫操作タイプ]]="注文",_xlfn.XLOOKUP(history[[#This Row],[商品ID]],stats[商品ID],stats[単価],"？"),"")</f>
        <v/>
      </c>
    </row>
    <row r="204" spans="1:10">
      <c r="A204" s="6" t="s">
        <v>680</v>
      </c>
      <c r="B204" s="6" t="s">
        <v>431</v>
      </c>
      <c r="C204" s="6" t="s">
        <v>15</v>
      </c>
      <c r="D204" s="6">
        <v>4901360358397</v>
      </c>
      <c r="E204" s="6" t="s">
        <v>450</v>
      </c>
      <c r="F204" s="6">
        <v>0</v>
      </c>
      <c r="G204" s="6">
        <v>13</v>
      </c>
      <c r="H204" s="9">
        <v>46538</v>
      </c>
      <c r="I204" s="8">
        <v>46216.728981481479</v>
      </c>
      <c r="J204" s="7" t="str">
        <f>IF(history[[#This Row],[在庫操作タイプ]]="注文",_xlfn.XLOOKUP(history[[#This Row],[商品ID]],stats[商品ID],stats[単価],"？"),"")</f>
        <v/>
      </c>
    </row>
    <row r="205" spans="1:10">
      <c r="A205" s="6" t="s">
        <v>681</v>
      </c>
      <c r="B205" s="6" t="s">
        <v>470</v>
      </c>
      <c r="C205" s="6" t="s">
        <v>62</v>
      </c>
      <c r="D205" s="6">
        <v>49698626</v>
      </c>
      <c r="E205" s="6" t="s">
        <v>450</v>
      </c>
      <c r="F205" s="6">
        <v>0</v>
      </c>
      <c r="G205" s="6">
        <v>2</v>
      </c>
      <c r="H205" s="9">
        <v>46334</v>
      </c>
      <c r="I205" s="8">
        <v>46216.728981481479</v>
      </c>
      <c r="J205" s="7" t="str">
        <f>IF(history[[#This Row],[在庫操作タイプ]]="注文",_xlfn.XLOOKUP(history[[#This Row],[商品ID]],stats[商品ID],stats[単価],"？"),"")</f>
        <v/>
      </c>
    </row>
    <row r="206" spans="1:10">
      <c r="A206" s="6" t="s">
        <v>682</v>
      </c>
      <c r="B206" s="6" t="s">
        <v>475</v>
      </c>
      <c r="C206" s="6" t="s">
        <v>476</v>
      </c>
      <c r="D206" s="6">
        <v>4901071268374</v>
      </c>
      <c r="E206" s="6" t="s">
        <v>450</v>
      </c>
      <c r="F206" s="6">
        <v>0</v>
      </c>
      <c r="G206" s="6">
        <v>3</v>
      </c>
      <c r="H206" s="9">
        <v>46342</v>
      </c>
      <c r="I206" s="8">
        <v>46216.728981481479</v>
      </c>
      <c r="J206" s="7" t="str">
        <f>IF(history[[#This Row],[在庫操作タイプ]]="注文",_xlfn.XLOOKUP(history[[#This Row],[商品ID]],stats[商品ID],stats[単価],"？"),"")</f>
        <v/>
      </c>
    </row>
    <row r="207" spans="1:10">
      <c r="A207" s="6" t="s">
        <v>683</v>
      </c>
      <c r="B207" s="6" t="s">
        <v>433</v>
      </c>
      <c r="C207" s="6" t="s">
        <v>11</v>
      </c>
      <c r="D207" s="6">
        <v>49328714</v>
      </c>
      <c r="E207" s="6" t="s">
        <v>450</v>
      </c>
      <c r="F207" s="6">
        <v>0</v>
      </c>
      <c r="G207" s="6">
        <v>11</v>
      </c>
      <c r="H207" s="9">
        <v>46292</v>
      </c>
      <c r="I207" s="8">
        <v>46216.728981481479</v>
      </c>
      <c r="J207" s="7" t="str">
        <f>IF(history[[#This Row],[在庫操作タイプ]]="注文",_xlfn.XLOOKUP(history[[#This Row],[商品ID]],stats[商品ID],stats[単価],"？"),"")</f>
        <v/>
      </c>
    </row>
    <row r="208" spans="1:10">
      <c r="A208" s="6" t="s">
        <v>684</v>
      </c>
      <c r="B208" s="6" t="s">
        <v>432</v>
      </c>
      <c r="C208" s="6" t="s">
        <v>6</v>
      </c>
      <c r="D208" s="6">
        <v>4901588617511</v>
      </c>
      <c r="E208" s="6" t="s">
        <v>450</v>
      </c>
      <c r="F208" s="6">
        <v>0</v>
      </c>
      <c r="G208" s="6">
        <v>17</v>
      </c>
      <c r="H208" s="9">
        <v>46485</v>
      </c>
      <c r="I208" s="8">
        <v>46216.728981481479</v>
      </c>
      <c r="J208" s="7" t="str">
        <f>IF(history[[#This Row],[在庫操作タイプ]]="注文",_xlfn.XLOOKUP(history[[#This Row],[商品ID]],stats[商品ID],stats[単価],"？"),"")</f>
        <v/>
      </c>
    </row>
    <row r="209" spans="1:10">
      <c r="A209" s="6" t="s">
        <v>685</v>
      </c>
      <c r="B209" s="6" t="s">
        <v>424</v>
      </c>
      <c r="C209" s="6" t="s">
        <v>18</v>
      </c>
      <c r="D209" s="6">
        <v>4977821321491</v>
      </c>
      <c r="E209" s="6" t="s">
        <v>450</v>
      </c>
      <c r="F209" s="6">
        <v>0</v>
      </c>
      <c r="G209" s="6">
        <v>9</v>
      </c>
      <c r="H209" s="6"/>
      <c r="I209" s="8">
        <v>46216.728981481479</v>
      </c>
      <c r="J209" s="7" t="str">
        <f>IF(history[[#This Row],[在庫操作タイプ]]="注文",_xlfn.XLOOKUP(history[[#This Row],[商品ID]],stats[商品ID],stats[単価],"？"),"")</f>
        <v/>
      </c>
    </row>
    <row r="210" spans="1:10">
      <c r="A210" s="6" t="s">
        <v>686</v>
      </c>
      <c r="B210" s="6" t="s">
        <v>425</v>
      </c>
      <c r="C210" s="6" t="s">
        <v>32</v>
      </c>
      <c r="D210" s="6">
        <v>4901330578909</v>
      </c>
      <c r="E210" s="6" t="s">
        <v>450</v>
      </c>
      <c r="F210" s="6">
        <v>0</v>
      </c>
      <c r="G210" s="6">
        <v>8</v>
      </c>
      <c r="H210" s="9">
        <v>46184</v>
      </c>
      <c r="I210" s="8">
        <v>46216.728981481479</v>
      </c>
      <c r="J210" s="7" t="str">
        <f>IF(history[[#This Row],[在庫操作タイプ]]="注文",_xlfn.XLOOKUP(history[[#This Row],[商品ID]],stats[商品ID],stats[単価],"？"),"")</f>
        <v/>
      </c>
    </row>
    <row r="211" spans="1:10">
      <c r="A211" s="6" t="s">
        <v>687</v>
      </c>
      <c r="B211" s="6" t="s">
        <v>429</v>
      </c>
      <c r="C211" s="6" t="s">
        <v>49</v>
      </c>
      <c r="D211" s="6">
        <v>4901313207734</v>
      </c>
      <c r="E211" s="6" t="s">
        <v>450</v>
      </c>
      <c r="F211" s="6">
        <v>0</v>
      </c>
      <c r="G211" s="6">
        <v>4</v>
      </c>
      <c r="H211" s="9">
        <v>46356</v>
      </c>
      <c r="I211" s="8">
        <v>46216.728981481479</v>
      </c>
      <c r="J211" s="7" t="str">
        <f>IF(history[[#This Row],[在庫操作タイプ]]="注文",_xlfn.XLOOKUP(history[[#This Row],[商品ID]],stats[商品ID],stats[単価],"？"),"")</f>
        <v/>
      </c>
    </row>
    <row r="212" spans="1:10">
      <c r="A212" s="6" t="s">
        <v>688</v>
      </c>
      <c r="B212" s="6" t="s">
        <v>428</v>
      </c>
      <c r="C212" s="6" t="s">
        <v>35</v>
      </c>
      <c r="D212" s="6">
        <v>4902888232374</v>
      </c>
      <c r="E212" s="6" t="s">
        <v>450</v>
      </c>
      <c r="F212" s="6">
        <v>0</v>
      </c>
      <c r="G212" s="6">
        <v>9</v>
      </c>
      <c r="H212" s="9">
        <v>46142</v>
      </c>
      <c r="I212" s="8">
        <v>46216.728981481479</v>
      </c>
      <c r="J212" s="7" t="str">
        <f>IF(history[[#This Row],[在庫操作タイプ]]="注文",_xlfn.XLOOKUP(history[[#This Row],[商品ID]],stats[商品ID],stats[単価],"？"),"")</f>
        <v/>
      </c>
    </row>
    <row r="213" spans="1:10">
      <c r="A213" s="6" t="s">
        <v>689</v>
      </c>
      <c r="B213" s="6" t="s">
        <v>423</v>
      </c>
      <c r="C213" s="6" t="s">
        <v>96</v>
      </c>
      <c r="D213" s="6">
        <v>4987240618607</v>
      </c>
      <c r="E213" s="6" t="s">
        <v>450</v>
      </c>
      <c r="F213" s="6">
        <v>0</v>
      </c>
      <c r="G213" s="6">
        <v>4</v>
      </c>
      <c r="H213" s="9">
        <v>46660</v>
      </c>
      <c r="I213" s="8">
        <v>46216.728981481479</v>
      </c>
      <c r="J213" s="7" t="str">
        <f>IF(history[[#This Row],[在庫操作タイプ]]="注文",_xlfn.XLOOKUP(history[[#This Row],[商品ID]],stats[商品ID],stats[単価],"？"),"")</f>
        <v/>
      </c>
    </row>
    <row r="214" spans="1:10">
      <c r="A214" s="6" t="s">
        <v>690</v>
      </c>
      <c r="B214" s="6" t="s">
        <v>467</v>
      </c>
      <c r="C214" s="6" t="s">
        <v>93</v>
      </c>
      <c r="D214" s="6">
        <v>4987035555919</v>
      </c>
      <c r="E214" s="6" t="s">
        <v>450</v>
      </c>
      <c r="F214" s="6">
        <v>0</v>
      </c>
      <c r="G214" s="6">
        <v>2</v>
      </c>
      <c r="H214" s="9">
        <v>46446</v>
      </c>
      <c r="I214" s="8">
        <v>46216.728981481479</v>
      </c>
      <c r="J214" s="7" t="str">
        <f>IF(history[[#This Row],[在庫操作タイプ]]="注文",_xlfn.XLOOKUP(history[[#This Row],[商品ID]],stats[商品ID],stats[単価],"？"),"")</f>
        <v/>
      </c>
    </row>
    <row r="215" spans="1:10">
      <c r="A215" s="6" t="s">
        <v>691</v>
      </c>
      <c r="B215" s="6" t="s">
        <v>472</v>
      </c>
      <c r="C215" s="6" t="s">
        <v>473</v>
      </c>
      <c r="D215" s="6">
        <v>4987035684411</v>
      </c>
      <c r="E215" s="6" t="s">
        <v>450</v>
      </c>
      <c r="F215" s="6">
        <v>0</v>
      </c>
      <c r="G215" s="6">
        <v>3</v>
      </c>
      <c r="H215" s="9">
        <v>46477</v>
      </c>
      <c r="I215" s="8">
        <v>46216.728981481479</v>
      </c>
      <c r="J215" s="7" t="str">
        <f>IF(history[[#This Row],[在庫操作タイプ]]="注文",_xlfn.XLOOKUP(history[[#This Row],[商品ID]],stats[商品ID],stats[単価],"？"),"")</f>
        <v/>
      </c>
    </row>
    <row r="216" spans="1:10">
      <c r="A216" s="6" t="s">
        <v>173</v>
      </c>
      <c r="B216" s="6" t="s">
        <v>429</v>
      </c>
      <c r="C216" s="6" t="s">
        <v>49</v>
      </c>
      <c r="D216" s="6">
        <v>4901313207734</v>
      </c>
      <c r="E216" s="6" t="s">
        <v>448</v>
      </c>
      <c r="F216" s="6">
        <v>-1</v>
      </c>
      <c r="G216" s="6">
        <v>3</v>
      </c>
      <c r="H216" s="9">
        <v>46356</v>
      </c>
      <c r="I216" s="8">
        <v>46216.736979166664</v>
      </c>
      <c r="J216" s="7">
        <f>IF(history[[#This Row],[在庫操作タイプ]]="注文",_xlfn.XLOOKUP(history[[#This Row],[商品ID]],stats[商品ID],stats[単価],"？"),"")</f>
        <v>62</v>
      </c>
    </row>
    <row r="217" spans="1:10">
      <c r="A217" s="6" t="s">
        <v>175</v>
      </c>
      <c r="B217" s="6" t="s">
        <v>427</v>
      </c>
      <c r="C217" s="6" t="s">
        <v>46</v>
      </c>
      <c r="D217" s="6">
        <v>4901984088281</v>
      </c>
      <c r="E217" s="6" t="s">
        <v>448</v>
      </c>
      <c r="F217" s="6">
        <v>-1</v>
      </c>
      <c r="G217" s="6">
        <v>11</v>
      </c>
      <c r="H217" s="9">
        <v>46377</v>
      </c>
      <c r="I217" s="8">
        <v>46216.736979166664</v>
      </c>
      <c r="J217" s="7">
        <f>IF(history[[#This Row],[在庫操作タイプ]]="注文",_xlfn.XLOOKUP(history[[#This Row],[商品ID]],stats[商品ID],stats[単価],"？"),"")</f>
        <v>41</v>
      </c>
    </row>
    <row r="218" spans="1:10">
      <c r="A218" s="6" t="s">
        <v>176</v>
      </c>
      <c r="B218" s="6" t="s">
        <v>431</v>
      </c>
      <c r="C218" s="6" t="s">
        <v>15</v>
      </c>
      <c r="D218" s="6">
        <v>4901360358397</v>
      </c>
      <c r="E218" s="6" t="s">
        <v>448</v>
      </c>
      <c r="F218" s="6">
        <v>-1</v>
      </c>
      <c r="G218" s="6">
        <v>12</v>
      </c>
      <c r="H218" s="9">
        <v>46538</v>
      </c>
      <c r="I218" s="8">
        <v>46216.769768518519</v>
      </c>
      <c r="J218" s="7">
        <f>IF(history[[#This Row],[在庫操作タイプ]]="注文",_xlfn.XLOOKUP(history[[#This Row],[商品ID]],stats[商品ID],stats[単価],"？"),"")</f>
        <v>82</v>
      </c>
    </row>
    <row r="219" spans="1:10">
      <c r="A219" s="6" t="s">
        <v>178</v>
      </c>
      <c r="B219" s="6" t="s">
        <v>427</v>
      </c>
      <c r="C219" s="6" t="s">
        <v>46</v>
      </c>
      <c r="D219" s="6">
        <v>4901984088281</v>
      </c>
      <c r="E219" s="6" t="s">
        <v>448</v>
      </c>
      <c r="F219" s="6">
        <v>-1</v>
      </c>
      <c r="G219" s="6">
        <v>10</v>
      </c>
      <c r="H219" s="9">
        <v>46377</v>
      </c>
      <c r="I219" s="8">
        <v>46216.769768518519</v>
      </c>
      <c r="J219" s="7">
        <f>IF(history[[#This Row],[在庫操作タイプ]]="注文",_xlfn.XLOOKUP(history[[#This Row],[商品ID]],stats[商品ID],stats[単価],"？"),"")</f>
        <v>41</v>
      </c>
    </row>
    <row r="220" spans="1:10">
      <c r="A220" s="6" t="s">
        <v>179</v>
      </c>
      <c r="B220" s="6" t="s">
        <v>425</v>
      </c>
      <c r="C220" s="6" t="s">
        <v>32</v>
      </c>
      <c r="D220" s="6">
        <v>4901330578909</v>
      </c>
      <c r="E220" s="6" t="s">
        <v>448</v>
      </c>
      <c r="F220" s="6">
        <v>-1</v>
      </c>
      <c r="G220" s="6">
        <v>7</v>
      </c>
      <c r="H220" s="9">
        <v>46184</v>
      </c>
      <c r="I220" s="8">
        <v>46216.780787037038</v>
      </c>
      <c r="J220" s="7">
        <f>IF(history[[#This Row],[在庫操作タイプ]]="注文",_xlfn.XLOOKUP(history[[#This Row],[商品ID]],stats[商品ID],stats[単価],"？"),"")</f>
        <v>201</v>
      </c>
    </row>
    <row r="221" spans="1:10">
      <c r="A221" s="6" t="s">
        <v>181</v>
      </c>
      <c r="B221" s="6" t="s">
        <v>424</v>
      </c>
      <c r="C221" s="6" t="s">
        <v>18</v>
      </c>
      <c r="D221" s="6">
        <v>4977821321491</v>
      </c>
      <c r="E221" s="6" t="s">
        <v>448</v>
      </c>
      <c r="F221" s="6">
        <v>-1</v>
      </c>
      <c r="G221" s="6">
        <v>8</v>
      </c>
      <c r="H221" s="6"/>
      <c r="I221" s="8">
        <v>46216.831076388888</v>
      </c>
      <c r="J221" s="7">
        <f>IF(history[[#This Row],[在庫操作タイプ]]="注文",_xlfn.XLOOKUP(history[[#This Row],[商品ID]],stats[商品ID],stats[単価],"？"),"")</f>
        <v>60</v>
      </c>
    </row>
    <row r="222" spans="1:10">
      <c r="A222" s="6" t="s">
        <v>183</v>
      </c>
      <c r="B222" s="6" t="s">
        <v>428</v>
      </c>
      <c r="C222" s="6" t="s">
        <v>35</v>
      </c>
      <c r="D222" s="6">
        <v>4902888232374</v>
      </c>
      <c r="E222" s="6" t="s">
        <v>448</v>
      </c>
      <c r="F222" s="6">
        <v>-1</v>
      </c>
      <c r="G222" s="6">
        <v>8</v>
      </c>
      <c r="H222" s="9">
        <v>46142</v>
      </c>
      <c r="I222" s="8">
        <v>46217.304745370369</v>
      </c>
      <c r="J222" s="7">
        <f>IF(history[[#This Row],[在庫操作タイプ]]="注文",_xlfn.XLOOKUP(history[[#This Row],[商品ID]],stats[商品ID],stats[単価],"？"),"")</f>
        <v>134</v>
      </c>
    </row>
    <row r="223" spans="1:10">
      <c r="A223" s="6" t="s">
        <v>185</v>
      </c>
      <c r="B223" s="6" t="s">
        <v>429</v>
      </c>
      <c r="C223" s="6" t="s">
        <v>49</v>
      </c>
      <c r="D223" s="6">
        <v>4901313207734</v>
      </c>
      <c r="E223" s="6" t="s">
        <v>448</v>
      </c>
      <c r="F223" s="6">
        <v>-1</v>
      </c>
      <c r="G223" s="6">
        <v>2</v>
      </c>
      <c r="H223" s="9">
        <v>46356</v>
      </c>
      <c r="I223" s="8">
        <v>46217.366620370369</v>
      </c>
      <c r="J223" s="7">
        <f>IF(history[[#This Row],[在庫操作タイプ]]="注文",_xlfn.XLOOKUP(history[[#This Row],[商品ID]],stats[商品ID],stats[単価],"？"),"")</f>
        <v>62</v>
      </c>
    </row>
    <row r="224" spans="1:10">
      <c r="A224" s="6" t="s">
        <v>187</v>
      </c>
      <c r="B224" s="6" t="s">
        <v>428</v>
      </c>
      <c r="C224" s="6" t="s">
        <v>35</v>
      </c>
      <c r="D224" s="6">
        <v>4902888232374</v>
      </c>
      <c r="E224" s="6" t="s">
        <v>448</v>
      </c>
      <c r="F224" s="6">
        <v>-1</v>
      </c>
      <c r="G224" s="6">
        <v>7</v>
      </c>
      <c r="H224" s="9">
        <v>46142</v>
      </c>
      <c r="I224" s="8">
        <v>46217.410856481481</v>
      </c>
      <c r="J224" s="7">
        <f>IF(history[[#This Row],[在庫操作タイプ]]="注文",_xlfn.XLOOKUP(history[[#This Row],[商品ID]],stats[商品ID],stats[単価],"？"),"")</f>
        <v>134</v>
      </c>
    </row>
    <row r="225" spans="1:10">
      <c r="A225" s="6" t="s">
        <v>189</v>
      </c>
      <c r="B225" s="6" t="s">
        <v>428</v>
      </c>
      <c r="C225" s="6" t="s">
        <v>35</v>
      </c>
      <c r="D225" s="6">
        <v>4902888232374</v>
      </c>
      <c r="E225" s="6" t="s">
        <v>448</v>
      </c>
      <c r="F225" s="6">
        <v>-1</v>
      </c>
      <c r="G225" s="6">
        <v>6</v>
      </c>
      <c r="H225" s="9">
        <v>46142</v>
      </c>
      <c r="I225" s="8">
        <v>46217.486585648148</v>
      </c>
      <c r="J225" s="7">
        <f>IF(history[[#This Row],[在庫操作タイプ]]="注文",_xlfn.XLOOKUP(history[[#This Row],[商品ID]],stats[商品ID],stats[単価],"？"),"")</f>
        <v>134</v>
      </c>
    </row>
    <row r="226" spans="1:10">
      <c r="A226" s="6" t="s">
        <v>191</v>
      </c>
      <c r="B226" s="6" t="s">
        <v>426</v>
      </c>
      <c r="C226" s="6" t="s">
        <v>13</v>
      </c>
      <c r="D226" s="6">
        <v>4901360358373</v>
      </c>
      <c r="E226" s="6" t="s">
        <v>448</v>
      </c>
      <c r="F226" s="6">
        <v>-1</v>
      </c>
      <c r="G226" s="6">
        <v>11</v>
      </c>
      <c r="H226" s="9">
        <v>46538</v>
      </c>
      <c r="I226" s="8">
        <v>46217.525694444441</v>
      </c>
      <c r="J226" s="7">
        <f>IF(history[[#This Row],[在庫操作タイプ]]="注文",_xlfn.XLOOKUP(history[[#This Row],[商品ID]],stats[商品ID],stats[単価],"？"),"")</f>
        <v>82</v>
      </c>
    </row>
    <row r="227" spans="1:10">
      <c r="A227" s="6" t="s">
        <v>193</v>
      </c>
      <c r="B227" s="6" t="s">
        <v>428</v>
      </c>
      <c r="C227" s="6" t="s">
        <v>35</v>
      </c>
      <c r="D227" s="6">
        <v>4902888232374</v>
      </c>
      <c r="E227" s="6" t="s">
        <v>448</v>
      </c>
      <c r="F227" s="6">
        <v>-1</v>
      </c>
      <c r="G227" s="6">
        <v>5</v>
      </c>
      <c r="H227" s="9">
        <v>46142</v>
      </c>
      <c r="I227" s="8">
        <v>46217.566678240742</v>
      </c>
      <c r="J227" s="7">
        <f>IF(history[[#This Row],[在庫操作タイプ]]="注文",_xlfn.XLOOKUP(history[[#This Row],[商品ID]],stats[商品ID],stats[単価],"？"),"")</f>
        <v>134</v>
      </c>
    </row>
    <row r="228" spans="1:10">
      <c r="A228" s="6" t="s">
        <v>195</v>
      </c>
      <c r="B228" s="6" t="s">
        <v>423</v>
      </c>
      <c r="C228" s="6" t="s">
        <v>96</v>
      </c>
      <c r="D228" s="6">
        <v>4987240618607</v>
      </c>
      <c r="E228" s="6" t="s">
        <v>448</v>
      </c>
      <c r="F228" s="6">
        <v>-1</v>
      </c>
      <c r="G228" s="6">
        <v>3</v>
      </c>
      <c r="H228" s="9">
        <v>46660</v>
      </c>
      <c r="I228" s="8">
        <v>46217.642407407409</v>
      </c>
      <c r="J228" s="7">
        <f>IF(history[[#This Row],[在庫操作タイプ]]="注文",_xlfn.XLOOKUP(history[[#This Row],[商品ID]],stats[商品ID],stats[単価],"？"),"")</f>
        <v>288</v>
      </c>
    </row>
    <row r="229" spans="1:10">
      <c r="A229" s="6" t="s">
        <v>197</v>
      </c>
      <c r="B229" s="6" t="s">
        <v>431</v>
      </c>
      <c r="C229" s="6" t="s">
        <v>15</v>
      </c>
      <c r="D229" s="6">
        <v>4901360358397</v>
      </c>
      <c r="E229" s="6" t="s">
        <v>448</v>
      </c>
      <c r="F229" s="6">
        <v>-1</v>
      </c>
      <c r="G229" s="6">
        <v>11</v>
      </c>
      <c r="H229" s="9">
        <v>46538</v>
      </c>
      <c r="I229" s="8">
        <v>46217.651956018519</v>
      </c>
      <c r="J229" s="7">
        <f>IF(history[[#This Row],[在庫操作タイプ]]="注文",_xlfn.XLOOKUP(history[[#This Row],[商品ID]],stats[商品ID],stats[単価],"？"),"")</f>
        <v>82</v>
      </c>
    </row>
    <row r="230" spans="1:10">
      <c r="A230" s="6" t="s">
        <v>199</v>
      </c>
      <c r="B230" s="6" t="s">
        <v>428</v>
      </c>
      <c r="C230" s="6" t="s">
        <v>35</v>
      </c>
      <c r="D230" s="6">
        <v>4902888232374</v>
      </c>
      <c r="E230" s="6" t="s">
        <v>448</v>
      </c>
      <c r="F230" s="6">
        <v>-1</v>
      </c>
      <c r="G230" s="6">
        <v>4</v>
      </c>
      <c r="H230" s="9">
        <v>46142</v>
      </c>
      <c r="I230" s="8">
        <v>46217.656793981485</v>
      </c>
      <c r="J230" s="7">
        <f>IF(history[[#This Row],[在庫操作タイプ]]="注文",_xlfn.XLOOKUP(history[[#This Row],[商品ID]],stats[商品ID],stats[単価],"？"),"")</f>
        <v>134</v>
      </c>
    </row>
    <row r="231" spans="1:10">
      <c r="A231" s="6" t="s">
        <v>201</v>
      </c>
      <c r="B231" s="6" t="s">
        <v>424</v>
      </c>
      <c r="C231" s="6" t="s">
        <v>18</v>
      </c>
      <c r="D231" s="6">
        <v>4977821321491</v>
      </c>
      <c r="E231" s="6" t="s">
        <v>448</v>
      </c>
      <c r="F231" s="6">
        <v>-1</v>
      </c>
      <c r="G231" s="6">
        <v>7</v>
      </c>
      <c r="H231" s="6"/>
      <c r="I231" s="8">
        <v>46217.672696759262</v>
      </c>
      <c r="J231" s="7">
        <f>IF(history[[#This Row],[在庫操作タイプ]]="注文",_xlfn.XLOOKUP(history[[#This Row],[商品ID]],stats[商品ID],stats[単価],"？"),"")</f>
        <v>60</v>
      </c>
    </row>
    <row r="232" spans="1:10">
      <c r="A232" s="6" t="s">
        <v>203</v>
      </c>
      <c r="B232" s="6" t="s">
        <v>424</v>
      </c>
      <c r="C232" s="6" t="s">
        <v>18</v>
      </c>
      <c r="D232" s="6">
        <v>4977821321491</v>
      </c>
      <c r="E232" s="6" t="s">
        <v>448</v>
      </c>
      <c r="F232" s="6">
        <v>-1</v>
      </c>
      <c r="G232" s="6">
        <v>6</v>
      </c>
      <c r="H232" s="6"/>
      <c r="I232" s="8">
        <v>46217.767905092594</v>
      </c>
      <c r="J232" s="7">
        <f>IF(history[[#This Row],[在庫操作タイプ]]="注文",_xlfn.XLOOKUP(history[[#This Row],[商品ID]],stats[商品ID],stats[単価],"？"),"")</f>
        <v>60</v>
      </c>
    </row>
    <row r="233" spans="1:10">
      <c r="A233" s="6" t="s">
        <v>205</v>
      </c>
      <c r="B233" s="6" t="s">
        <v>430</v>
      </c>
      <c r="C233" s="6" t="s">
        <v>206</v>
      </c>
      <c r="D233" s="6">
        <v>4901360351466</v>
      </c>
      <c r="E233" s="6" t="s">
        <v>448</v>
      </c>
      <c r="F233" s="6">
        <v>-1</v>
      </c>
      <c r="G233" s="6">
        <v>9</v>
      </c>
      <c r="H233" s="9">
        <v>46477</v>
      </c>
      <c r="I233" s="8">
        <v>46217.767905092594</v>
      </c>
      <c r="J233" s="7">
        <f>IF(history[[#This Row],[在庫操作タイプ]]="注文",_xlfn.XLOOKUP(history[[#This Row],[商品ID]],stats[商品ID],stats[単価],"？"),"")</f>
        <v>82</v>
      </c>
    </row>
    <row r="234" spans="1:10">
      <c r="A234" s="6" t="s">
        <v>207</v>
      </c>
      <c r="B234" s="6" t="s">
        <v>424</v>
      </c>
      <c r="C234" s="6" t="s">
        <v>18</v>
      </c>
      <c r="D234" s="6">
        <v>4977821321491</v>
      </c>
      <c r="E234" s="6" t="s">
        <v>448</v>
      </c>
      <c r="F234" s="6">
        <v>-2</v>
      </c>
      <c r="G234" s="6">
        <v>4</v>
      </c>
      <c r="H234" s="6"/>
      <c r="I234" s="8">
        <v>46217.782789351855</v>
      </c>
      <c r="J234" s="7">
        <f>IF(history[[#This Row],[在庫操作タイプ]]="注文",_xlfn.XLOOKUP(history[[#This Row],[商品ID]],stats[商品ID],stats[単価],"？"),"")</f>
        <v>60</v>
      </c>
    </row>
    <row r="235" spans="1:10">
      <c r="A235" s="6" t="s">
        <v>209</v>
      </c>
      <c r="B235" s="6" t="s">
        <v>432</v>
      </c>
      <c r="C235" s="6" t="s">
        <v>6</v>
      </c>
      <c r="D235" s="6">
        <v>4901588617511</v>
      </c>
      <c r="E235" s="6" t="s">
        <v>448</v>
      </c>
      <c r="F235" s="6">
        <v>-1</v>
      </c>
      <c r="G235" s="6">
        <v>16</v>
      </c>
      <c r="H235" s="9">
        <v>46485</v>
      </c>
      <c r="I235" s="8">
        <v>46217.797152777777</v>
      </c>
      <c r="J235" s="7">
        <f>IF(history[[#This Row],[在庫操作タイプ]]="注文",_xlfn.XLOOKUP(history[[#This Row],[商品ID]],stats[商品ID],stats[単価],"？"),"")</f>
        <v>51</v>
      </c>
    </row>
    <row r="236" spans="1:10">
      <c r="A236" s="6" t="s">
        <v>211</v>
      </c>
      <c r="B236" s="6" t="s">
        <v>431</v>
      </c>
      <c r="C236" s="6" t="s">
        <v>15</v>
      </c>
      <c r="D236" s="6">
        <v>4901360358397</v>
      </c>
      <c r="E236" s="6" t="s">
        <v>448</v>
      </c>
      <c r="F236" s="6">
        <v>-1</v>
      </c>
      <c r="G236" s="6">
        <v>10</v>
      </c>
      <c r="H236" s="9">
        <v>46538</v>
      </c>
      <c r="I236" s="8">
        <v>46217.797152777777</v>
      </c>
      <c r="J236" s="7">
        <f>IF(history[[#This Row],[在庫操作タイプ]]="注文",_xlfn.XLOOKUP(history[[#This Row],[商品ID]],stats[商品ID],stats[単価],"？"),"")</f>
        <v>82</v>
      </c>
    </row>
    <row r="237" spans="1:10">
      <c r="A237" s="6" t="s">
        <v>212</v>
      </c>
      <c r="B237" s="6" t="s">
        <v>424</v>
      </c>
      <c r="C237" s="6" t="s">
        <v>18</v>
      </c>
      <c r="D237" s="6">
        <v>4977821321491</v>
      </c>
      <c r="E237" s="6" t="s">
        <v>448</v>
      </c>
      <c r="F237" s="6">
        <v>-1</v>
      </c>
      <c r="G237" s="6">
        <v>3</v>
      </c>
      <c r="H237" s="6"/>
      <c r="I237" s="8">
        <v>46217.807881944442</v>
      </c>
      <c r="J237" s="7">
        <f>IF(history[[#This Row],[在庫操作タイプ]]="注文",_xlfn.XLOOKUP(history[[#This Row],[商品ID]],stats[商品ID],stats[単価],"？"),"")</f>
        <v>60</v>
      </c>
    </row>
    <row r="238" spans="1:10">
      <c r="A238" s="6" t="s">
        <v>214</v>
      </c>
      <c r="B238" s="6" t="s">
        <v>423</v>
      </c>
      <c r="C238" s="6" t="s">
        <v>96</v>
      </c>
      <c r="D238" s="6">
        <v>4987240618607</v>
      </c>
      <c r="E238" s="6" t="s">
        <v>448</v>
      </c>
      <c r="F238" s="6">
        <v>-1</v>
      </c>
      <c r="G238" s="6">
        <v>2</v>
      </c>
      <c r="H238" s="9">
        <v>46660</v>
      </c>
      <c r="I238" s="8">
        <v>46218.341539351852</v>
      </c>
      <c r="J238" s="7">
        <f>IF(history[[#This Row],[在庫操作タイプ]]="注文",_xlfn.XLOOKUP(history[[#This Row],[商品ID]],stats[商品ID],stats[単価],"？"),"")</f>
        <v>288</v>
      </c>
    </row>
    <row r="239" spans="1:10">
      <c r="A239" s="6" t="s">
        <v>216</v>
      </c>
      <c r="B239" s="6" t="s">
        <v>432</v>
      </c>
      <c r="C239" s="6" t="s">
        <v>6</v>
      </c>
      <c r="D239" s="6">
        <v>4901588617511</v>
      </c>
      <c r="E239" s="6" t="s">
        <v>448</v>
      </c>
      <c r="F239" s="6">
        <v>-1</v>
      </c>
      <c r="G239" s="6">
        <v>15</v>
      </c>
      <c r="H239" s="9">
        <v>46485</v>
      </c>
      <c r="I239" s="8">
        <v>46218.546932870369</v>
      </c>
      <c r="J239" s="7">
        <f>IF(history[[#This Row],[在庫操作タイプ]]="注文",_xlfn.XLOOKUP(history[[#This Row],[商品ID]],stats[商品ID],stats[単価],"？"),"")</f>
        <v>51</v>
      </c>
    </row>
    <row r="240" spans="1:10">
      <c r="A240" s="6" t="s">
        <v>218</v>
      </c>
      <c r="B240" s="6" t="s">
        <v>430</v>
      </c>
      <c r="C240" s="6" t="s">
        <v>206</v>
      </c>
      <c r="D240" s="6">
        <v>4901360351466</v>
      </c>
      <c r="E240" s="6" t="s">
        <v>448</v>
      </c>
      <c r="F240" s="6">
        <v>-1</v>
      </c>
      <c r="G240" s="6">
        <v>8</v>
      </c>
      <c r="H240" s="9">
        <v>46477</v>
      </c>
      <c r="I240" s="8">
        <v>46218.630300925928</v>
      </c>
      <c r="J240" s="7">
        <f>IF(history[[#This Row],[在庫操作タイプ]]="注文",_xlfn.XLOOKUP(history[[#This Row],[商品ID]],stats[商品ID],stats[単価],"？"),"")</f>
        <v>82</v>
      </c>
    </row>
    <row r="241" spans="1:10">
      <c r="A241" s="6" t="s">
        <v>220</v>
      </c>
      <c r="B241" s="6" t="s">
        <v>427</v>
      </c>
      <c r="C241" s="6" t="s">
        <v>46</v>
      </c>
      <c r="D241" s="6">
        <v>4901984088281</v>
      </c>
      <c r="E241" s="6" t="s">
        <v>448</v>
      </c>
      <c r="F241" s="6">
        <v>-1</v>
      </c>
      <c r="G241" s="6">
        <v>9</v>
      </c>
      <c r="H241" s="9">
        <v>46377</v>
      </c>
      <c r="I241" s="8">
        <v>46218.630300925928</v>
      </c>
      <c r="J241" s="7">
        <f>IF(history[[#This Row],[在庫操作タイプ]]="注文",_xlfn.XLOOKUP(history[[#This Row],[商品ID]],stats[商品ID],stats[単価],"？"),"")</f>
        <v>41</v>
      </c>
    </row>
    <row r="242" spans="1:10">
      <c r="A242" s="6" t="s">
        <v>221</v>
      </c>
      <c r="B242" s="6" t="s">
        <v>426</v>
      </c>
      <c r="C242" s="6" t="s">
        <v>13</v>
      </c>
      <c r="D242" s="6">
        <v>4901360358373</v>
      </c>
      <c r="E242" s="6" t="s">
        <v>448</v>
      </c>
      <c r="F242" s="6">
        <v>-1</v>
      </c>
      <c r="G242" s="6">
        <v>10</v>
      </c>
      <c r="H242" s="9">
        <v>46538</v>
      </c>
      <c r="I242" s="8">
        <v>46218.630300925928</v>
      </c>
      <c r="J242" s="7">
        <f>IF(history[[#This Row],[在庫操作タイプ]]="注文",_xlfn.XLOOKUP(history[[#This Row],[商品ID]],stats[商品ID],stats[単価],"？"),"")</f>
        <v>82</v>
      </c>
    </row>
    <row r="243" spans="1:10">
      <c r="A243" s="6" t="s">
        <v>654</v>
      </c>
      <c r="B243" s="6" t="s">
        <v>430</v>
      </c>
      <c r="C243" s="6" t="s">
        <v>206</v>
      </c>
      <c r="D243" s="6">
        <v>4901360351466</v>
      </c>
      <c r="E243" s="6" t="s">
        <v>461</v>
      </c>
      <c r="F243" s="6">
        <v>0</v>
      </c>
      <c r="G243" s="6">
        <v>8</v>
      </c>
      <c r="H243" s="9">
        <v>46477</v>
      </c>
      <c r="I243" s="8">
        <v>46219.461365740739</v>
      </c>
      <c r="J243" s="7" t="str">
        <f>IF(history[[#This Row],[在庫操作タイプ]]="注文",_xlfn.XLOOKUP(history[[#This Row],[商品ID]],stats[商品ID],stats[単価],"？"),"")</f>
        <v/>
      </c>
    </row>
    <row r="244" spans="1:10">
      <c r="A244" s="6" t="s">
        <v>655</v>
      </c>
      <c r="B244" s="6" t="s">
        <v>433</v>
      </c>
      <c r="C244" s="6" t="s">
        <v>11</v>
      </c>
      <c r="D244" s="6">
        <v>49328714</v>
      </c>
      <c r="E244" s="6" t="s">
        <v>461</v>
      </c>
      <c r="F244" s="6">
        <v>0</v>
      </c>
      <c r="G244" s="6">
        <v>11</v>
      </c>
      <c r="H244" s="9">
        <v>46292</v>
      </c>
      <c r="I244" s="8">
        <v>46219.461365740739</v>
      </c>
      <c r="J244" s="7" t="str">
        <f>IF(history[[#This Row],[在庫操作タイプ]]="注文",_xlfn.XLOOKUP(history[[#This Row],[商品ID]],stats[商品ID],stats[単価],"？"),"")</f>
        <v/>
      </c>
    </row>
    <row r="245" spans="1:10">
      <c r="A245" s="6" t="s">
        <v>656</v>
      </c>
      <c r="B245" s="6" t="s">
        <v>470</v>
      </c>
      <c r="C245" s="6" t="s">
        <v>62</v>
      </c>
      <c r="D245" s="6">
        <v>49698626</v>
      </c>
      <c r="E245" s="6" t="s">
        <v>461</v>
      </c>
      <c r="F245" s="6">
        <v>0</v>
      </c>
      <c r="G245" s="6">
        <v>2</v>
      </c>
      <c r="H245" s="9">
        <v>46334</v>
      </c>
      <c r="I245" s="8">
        <v>46219.461365740739</v>
      </c>
      <c r="J245" s="7" t="str">
        <f>IF(history[[#This Row],[在庫操作タイプ]]="注文",_xlfn.XLOOKUP(history[[#This Row],[商品ID]],stats[商品ID],stats[単価],"？"),"")</f>
        <v/>
      </c>
    </row>
    <row r="246" spans="1:10">
      <c r="A246" s="6" t="s">
        <v>657</v>
      </c>
      <c r="B246" s="6" t="s">
        <v>475</v>
      </c>
      <c r="C246" s="6" t="s">
        <v>476</v>
      </c>
      <c r="D246" s="6">
        <v>4901071268374</v>
      </c>
      <c r="E246" s="6" t="s">
        <v>461</v>
      </c>
      <c r="F246" s="6">
        <v>0</v>
      </c>
      <c r="G246" s="6">
        <v>3</v>
      </c>
      <c r="H246" s="9">
        <v>46342</v>
      </c>
      <c r="I246" s="8">
        <v>46219.461365740739</v>
      </c>
      <c r="J246" s="7" t="str">
        <f>IF(history[[#This Row],[在庫操作タイプ]]="注文",_xlfn.XLOOKUP(history[[#This Row],[商品ID]],stats[商品ID],stats[単価],"？"),"")</f>
        <v/>
      </c>
    </row>
    <row r="247" spans="1:10">
      <c r="A247" s="6" t="s">
        <v>658</v>
      </c>
      <c r="B247" s="6" t="s">
        <v>472</v>
      </c>
      <c r="C247" s="6" t="s">
        <v>473</v>
      </c>
      <c r="D247" s="6">
        <v>4987035684411</v>
      </c>
      <c r="E247" s="6" t="s">
        <v>461</v>
      </c>
      <c r="F247" s="6">
        <v>0</v>
      </c>
      <c r="G247" s="6">
        <v>3</v>
      </c>
      <c r="H247" s="9">
        <v>46477</v>
      </c>
      <c r="I247" s="8">
        <v>46219.461365740739</v>
      </c>
      <c r="J247" s="7" t="str">
        <f>IF(history[[#This Row],[在庫操作タイプ]]="注文",_xlfn.XLOOKUP(history[[#This Row],[商品ID]],stats[商品ID],stats[単価],"？"),"")</f>
        <v/>
      </c>
    </row>
    <row r="248" spans="1:10">
      <c r="A248" s="6" t="s">
        <v>659</v>
      </c>
      <c r="B248" s="6" t="s">
        <v>467</v>
      </c>
      <c r="C248" s="6" t="s">
        <v>93</v>
      </c>
      <c r="D248" s="6">
        <v>4987035555919</v>
      </c>
      <c r="E248" s="6" t="s">
        <v>461</v>
      </c>
      <c r="F248" s="6">
        <v>0</v>
      </c>
      <c r="G248" s="6">
        <v>2</v>
      </c>
      <c r="H248" s="9">
        <v>46446</v>
      </c>
      <c r="I248" s="8">
        <v>46219.461365740739</v>
      </c>
      <c r="J248" s="7" t="str">
        <f>IF(history[[#This Row],[在庫操作タイプ]]="注文",_xlfn.XLOOKUP(history[[#This Row],[商品ID]],stats[商品ID],stats[単価],"？"),"")</f>
        <v/>
      </c>
    </row>
    <row r="249" spans="1:10">
      <c r="A249" s="6" t="s">
        <v>660</v>
      </c>
      <c r="B249" s="6" t="s">
        <v>424</v>
      </c>
      <c r="C249" s="6" t="s">
        <v>18</v>
      </c>
      <c r="D249" s="6">
        <v>4977821321491</v>
      </c>
      <c r="E249" s="6" t="s">
        <v>461</v>
      </c>
      <c r="F249" s="6">
        <v>0</v>
      </c>
      <c r="G249" s="6">
        <v>3</v>
      </c>
      <c r="H249" s="6"/>
      <c r="I249" s="8">
        <v>46219.461365740739</v>
      </c>
      <c r="J249" s="7" t="str">
        <f>IF(history[[#This Row],[在庫操作タイプ]]="注文",_xlfn.XLOOKUP(history[[#This Row],[商品ID]],stats[商品ID],stats[単価],"？"),"")</f>
        <v/>
      </c>
    </row>
    <row r="250" spans="1:10">
      <c r="A250" s="6" t="s">
        <v>661</v>
      </c>
      <c r="B250" s="6" t="s">
        <v>429</v>
      </c>
      <c r="C250" s="6" t="s">
        <v>49</v>
      </c>
      <c r="D250" s="6">
        <v>4901313207734</v>
      </c>
      <c r="E250" s="6" t="s">
        <v>461</v>
      </c>
      <c r="F250" s="6">
        <v>10</v>
      </c>
      <c r="G250" s="6">
        <v>12</v>
      </c>
      <c r="H250" s="9">
        <v>46356</v>
      </c>
      <c r="I250" s="8">
        <v>46219.461365740739</v>
      </c>
      <c r="J250" s="7" t="str">
        <f>IF(history[[#This Row],[在庫操作タイプ]]="注文",_xlfn.XLOOKUP(history[[#This Row],[商品ID]],stats[商品ID],stats[単価],"？"),"")</f>
        <v/>
      </c>
    </row>
    <row r="251" spans="1:10">
      <c r="A251" s="6" t="s">
        <v>662</v>
      </c>
      <c r="B251" s="6" t="s">
        <v>427</v>
      </c>
      <c r="C251" s="6" t="s">
        <v>46</v>
      </c>
      <c r="D251" s="6">
        <v>4901984088281</v>
      </c>
      <c r="E251" s="6" t="s">
        <v>461</v>
      </c>
      <c r="F251" s="6">
        <v>0</v>
      </c>
      <c r="G251" s="6">
        <v>9</v>
      </c>
      <c r="H251" s="9">
        <v>46377</v>
      </c>
      <c r="I251" s="8">
        <v>46219.461365740739</v>
      </c>
      <c r="J251" s="7" t="str">
        <f>IF(history[[#This Row],[在庫操作タイプ]]="注文",_xlfn.XLOOKUP(history[[#This Row],[商品ID]],stats[商品ID],stats[単価],"？"),"")</f>
        <v/>
      </c>
    </row>
    <row r="252" spans="1:10">
      <c r="A252" s="6" t="s">
        <v>663</v>
      </c>
      <c r="B252" s="6" t="s">
        <v>426</v>
      </c>
      <c r="C252" s="6" t="s">
        <v>13</v>
      </c>
      <c r="D252" s="6">
        <v>4901360358373</v>
      </c>
      <c r="E252" s="6" t="s">
        <v>461</v>
      </c>
      <c r="F252" s="6">
        <v>0</v>
      </c>
      <c r="G252" s="6">
        <v>10</v>
      </c>
      <c r="H252" s="9">
        <v>46538</v>
      </c>
      <c r="I252" s="8">
        <v>46219.461365740739</v>
      </c>
      <c r="J252" s="7" t="str">
        <f>IF(history[[#This Row],[在庫操作タイプ]]="注文",_xlfn.XLOOKUP(history[[#This Row],[商品ID]],stats[商品ID],stats[単価],"？"),"")</f>
        <v/>
      </c>
    </row>
    <row r="253" spans="1:10">
      <c r="A253" s="6" t="s">
        <v>664</v>
      </c>
      <c r="B253" s="6" t="s">
        <v>431</v>
      </c>
      <c r="C253" s="6" t="s">
        <v>15</v>
      </c>
      <c r="D253" s="6">
        <v>4901360358397</v>
      </c>
      <c r="E253" s="6" t="s">
        <v>461</v>
      </c>
      <c r="F253" s="6">
        <v>0</v>
      </c>
      <c r="G253" s="6">
        <v>10</v>
      </c>
      <c r="H253" s="9">
        <v>46538</v>
      </c>
      <c r="I253" s="8">
        <v>46219.461365740739</v>
      </c>
      <c r="J253" s="7" t="str">
        <f>IF(history[[#This Row],[在庫操作タイプ]]="注文",_xlfn.XLOOKUP(history[[#This Row],[商品ID]],stats[商品ID],stats[単価],"？"),"")</f>
        <v/>
      </c>
    </row>
    <row r="254" spans="1:10">
      <c r="A254" s="6" t="s">
        <v>665</v>
      </c>
      <c r="B254" s="6" t="s">
        <v>428</v>
      </c>
      <c r="C254" s="6" t="s">
        <v>35</v>
      </c>
      <c r="D254" s="6">
        <v>4902888232374</v>
      </c>
      <c r="E254" s="6" t="s">
        <v>461</v>
      </c>
      <c r="F254" s="6">
        <v>0</v>
      </c>
      <c r="G254" s="6">
        <v>4</v>
      </c>
      <c r="H254" s="9">
        <v>46142</v>
      </c>
      <c r="I254" s="8">
        <v>46219.461365740739</v>
      </c>
      <c r="J254" s="7" t="str">
        <f>IF(history[[#This Row],[在庫操作タイプ]]="注文",_xlfn.XLOOKUP(history[[#This Row],[商品ID]],stats[商品ID],stats[単価],"？"),"")</f>
        <v/>
      </c>
    </row>
    <row r="255" spans="1:10">
      <c r="A255" s="6" t="s">
        <v>666</v>
      </c>
      <c r="B255" s="6" t="s">
        <v>423</v>
      </c>
      <c r="C255" s="6" t="s">
        <v>96</v>
      </c>
      <c r="D255" s="6">
        <v>4987240618607</v>
      </c>
      <c r="E255" s="6" t="s">
        <v>461</v>
      </c>
      <c r="F255" s="6">
        <v>0</v>
      </c>
      <c r="G255" s="6">
        <v>2</v>
      </c>
      <c r="H255" s="9">
        <v>46660</v>
      </c>
      <c r="I255" s="8">
        <v>46219.461365740739</v>
      </c>
      <c r="J255" s="7" t="str">
        <f>IF(history[[#This Row],[在庫操作タイプ]]="注文",_xlfn.XLOOKUP(history[[#This Row],[商品ID]],stats[商品ID],stats[単価],"？"),"")</f>
        <v/>
      </c>
    </row>
    <row r="256" spans="1:10">
      <c r="A256" s="6" t="s">
        <v>667</v>
      </c>
      <c r="B256" s="6" t="s">
        <v>516</v>
      </c>
      <c r="C256" s="6" t="s">
        <v>517</v>
      </c>
      <c r="D256" s="6">
        <v>4901035222220</v>
      </c>
      <c r="E256" s="6" t="s">
        <v>461</v>
      </c>
      <c r="F256" s="6">
        <v>0</v>
      </c>
      <c r="G256" s="6">
        <v>10</v>
      </c>
      <c r="H256" s="9">
        <v>46387</v>
      </c>
      <c r="I256" s="8">
        <v>46219.461365740739</v>
      </c>
      <c r="J256" s="7" t="str">
        <f>IF(history[[#This Row],[在庫操作タイプ]]="注文",_xlfn.XLOOKUP(history[[#This Row],[商品ID]],stats[商品ID],stats[単価],"？"),"")</f>
        <v/>
      </c>
    </row>
    <row r="257" spans="1:10">
      <c r="A257" s="6" t="s">
        <v>668</v>
      </c>
      <c r="B257" s="6" t="s">
        <v>479</v>
      </c>
      <c r="C257" s="6" t="s">
        <v>480</v>
      </c>
      <c r="D257" s="6">
        <v>4987035043515</v>
      </c>
      <c r="E257" s="6" t="s">
        <v>461</v>
      </c>
      <c r="F257" s="6">
        <v>0</v>
      </c>
      <c r="G257" s="6">
        <v>3</v>
      </c>
      <c r="H257" s="9">
        <v>46477</v>
      </c>
      <c r="I257" s="8">
        <v>46219.461365740739</v>
      </c>
      <c r="J257" s="7" t="str">
        <f>IF(history[[#This Row],[在庫操作タイプ]]="注文",_xlfn.XLOOKUP(history[[#This Row],[商品ID]],stats[商品ID],stats[単価],"？"),"")</f>
        <v/>
      </c>
    </row>
    <row r="258" spans="1:10">
      <c r="A258" s="6" t="s">
        <v>669</v>
      </c>
      <c r="B258" s="6" t="s">
        <v>425</v>
      </c>
      <c r="C258" s="6" t="s">
        <v>32</v>
      </c>
      <c r="D258" s="6">
        <v>4901330578909</v>
      </c>
      <c r="E258" s="6" t="s">
        <v>461</v>
      </c>
      <c r="F258" s="6">
        <v>0</v>
      </c>
      <c r="G258" s="6">
        <v>7</v>
      </c>
      <c r="H258" s="9">
        <v>46184</v>
      </c>
      <c r="I258" s="8">
        <v>46219.461365740739</v>
      </c>
      <c r="J258" s="7" t="str">
        <f>IF(history[[#This Row],[在庫操作タイプ]]="注文",_xlfn.XLOOKUP(history[[#This Row],[商品ID]],stats[商品ID],stats[単価],"？"),"")</f>
        <v/>
      </c>
    </row>
    <row r="259" spans="1:10">
      <c r="A259" s="6" t="s">
        <v>670</v>
      </c>
      <c r="B259" s="6" t="s">
        <v>432</v>
      </c>
      <c r="C259" s="6" t="s">
        <v>6</v>
      </c>
      <c r="D259" s="6">
        <v>4901588617511</v>
      </c>
      <c r="E259" s="6" t="s">
        <v>461</v>
      </c>
      <c r="F259" s="6">
        <v>0</v>
      </c>
      <c r="G259" s="6">
        <v>15</v>
      </c>
      <c r="H259" s="9">
        <v>46485</v>
      </c>
      <c r="I259" s="8">
        <v>46219.461365740739</v>
      </c>
      <c r="J259" s="7" t="str">
        <f>IF(history[[#This Row],[在庫操作タイプ]]="注文",_xlfn.XLOOKUP(history[[#This Row],[商品ID]],stats[商品ID],stats[単価],"？"),"")</f>
        <v/>
      </c>
    </row>
    <row r="260" spans="1:10">
      <c r="A260" s="6" t="s">
        <v>671</v>
      </c>
      <c r="B260" s="6" t="s">
        <v>441</v>
      </c>
      <c r="C260" s="6" t="s">
        <v>415</v>
      </c>
      <c r="D260" s="6">
        <v>49698633</v>
      </c>
      <c r="E260" s="6" t="s">
        <v>461</v>
      </c>
      <c r="F260" s="6">
        <v>0</v>
      </c>
      <c r="G260" s="6">
        <v>3</v>
      </c>
      <c r="H260" s="9">
        <v>46348</v>
      </c>
      <c r="I260" s="8">
        <v>46219.461365740739</v>
      </c>
      <c r="J260" s="7" t="str">
        <f>IF(history[[#This Row],[在庫操作タイプ]]="注文",_xlfn.XLOOKUP(history[[#This Row],[商品ID]],stats[商品ID],stats[単価],"？"),"")</f>
        <v/>
      </c>
    </row>
    <row r="261" spans="1:10">
      <c r="A261" s="6" t="s">
        <v>222</v>
      </c>
      <c r="B261" s="6" t="s">
        <v>432</v>
      </c>
      <c r="C261" s="6" t="s">
        <v>6</v>
      </c>
      <c r="D261" s="6">
        <v>4901588617511</v>
      </c>
      <c r="E261" s="6" t="s">
        <v>448</v>
      </c>
      <c r="F261" s="6">
        <v>-1</v>
      </c>
      <c r="G261" s="6">
        <v>14</v>
      </c>
      <c r="H261" s="9">
        <v>46485</v>
      </c>
      <c r="I261" s="8">
        <v>46219.546111111114</v>
      </c>
      <c r="J261" s="7">
        <f>IF(history[[#This Row],[在庫操作タイプ]]="注文",_xlfn.XLOOKUP(history[[#This Row],[商品ID]],stats[商品ID],stats[単価],"？"),"")</f>
        <v>51</v>
      </c>
    </row>
    <row r="262" spans="1:10">
      <c r="A262" s="6" t="s">
        <v>224</v>
      </c>
      <c r="B262" s="6" t="s">
        <v>424</v>
      </c>
      <c r="C262" s="6" t="s">
        <v>18</v>
      </c>
      <c r="D262" s="6">
        <v>4977821321491</v>
      </c>
      <c r="E262" s="6" t="s">
        <v>448</v>
      </c>
      <c r="F262" s="6">
        <v>-2</v>
      </c>
      <c r="G262" s="6">
        <v>1</v>
      </c>
      <c r="H262" s="6"/>
      <c r="I262" s="8">
        <v>46219.662175925929</v>
      </c>
      <c r="J262" s="7">
        <f>IF(history[[#This Row],[在庫操作タイプ]]="注文",_xlfn.XLOOKUP(history[[#This Row],[商品ID]],stats[商品ID],stats[単価],"？"),"")</f>
        <v>60</v>
      </c>
    </row>
    <row r="263" spans="1:10">
      <c r="A263" s="6" t="s">
        <v>226</v>
      </c>
      <c r="B263" s="6" t="s">
        <v>426</v>
      </c>
      <c r="C263" s="6" t="s">
        <v>13</v>
      </c>
      <c r="D263" s="6">
        <v>4901360358373</v>
      </c>
      <c r="E263" s="6" t="s">
        <v>448</v>
      </c>
      <c r="F263" s="6">
        <v>-1</v>
      </c>
      <c r="G263" s="6">
        <v>9</v>
      </c>
      <c r="H263" s="9">
        <v>46538</v>
      </c>
      <c r="I263" s="8">
        <v>46219.679803240739</v>
      </c>
      <c r="J263" s="7">
        <f>IF(history[[#This Row],[在庫操作タイプ]]="注文",_xlfn.XLOOKUP(history[[#This Row],[商品ID]],stats[商品ID],stats[単価],"？"),"")</f>
        <v>82</v>
      </c>
    </row>
    <row r="264" spans="1:10">
      <c r="A264" s="6" t="s">
        <v>228</v>
      </c>
      <c r="B264" s="6" t="s">
        <v>428</v>
      </c>
      <c r="C264" s="6" t="s">
        <v>35</v>
      </c>
      <c r="D264" s="6">
        <v>4902888232374</v>
      </c>
      <c r="E264" s="6" t="s">
        <v>448</v>
      </c>
      <c r="F264" s="6">
        <v>-1</v>
      </c>
      <c r="G264" s="6">
        <v>3</v>
      </c>
      <c r="H264" s="9">
        <v>46142</v>
      </c>
      <c r="I264" s="8">
        <v>46220.423738425925</v>
      </c>
      <c r="J264" s="7">
        <f>IF(history[[#This Row],[在庫操作タイプ]]="注文",_xlfn.XLOOKUP(history[[#This Row],[商品ID]],stats[商品ID],stats[単価],"？"),"")</f>
        <v>134</v>
      </c>
    </row>
    <row r="265" spans="1:10">
      <c r="A265" s="6" t="s">
        <v>230</v>
      </c>
      <c r="B265" s="6" t="s">
        <v>430</v>
      </c>
      <c r="C265" s="6" t="s">
        <v>206</v>
      </c>
      <c r="D265" s="6">
        <v>4901360351466</v>
      </c>
      <c r="E265" s="6" t="s">
        <v>448</v>
      </c>
      <c r="F265" s="6">
        <v>-1</v>
      </c>
      <c r="G265" s="6">
        <v>7</v>
      </c>
      <c r="H265" s="9">
        <v>46477</v>
      </c>
      <c r="I265" s="8">
        <v>46220.468263888892</v>
      </c>
      <c r="J265" s="7">
        <f>IF(history[[#This Row],[在庫操作タイプ]]="注文",_xlfn.XLOOKUP(history[[#This Row],[商品ID]],stats[商品ID],stats[単価],"？"),"")</f>
        <v>82</v>
      </c>
    </row>
    <row r="266" spans="1:10">
      <c r="A266" s="6" t="s">
        <v>232</v>
      </c>
      <c r="B266" s="6" t="s">
        <v>431</v>
      </c>
      <c r="C266" s="6" t="s">
        <v>15</v>
      </c>
      <c r="D266" s="6">
        <v>4901360358397</v>
      </c>
      <c r="E266" s="6" t="s">
        <v>448</v>
      </c>
      <c r="F266" s="6">
        <v>-1</v>
      </c>
      <c r="G266" s="6">
        <v>9</v>
      </c>
      <c r="H266" s="9">
        <v>46538</v>
      </c>
      <c r="I266" s="8">
        <v>46220.468263888892</v>
      </c>
      <c r="J266" s="7">
        <f>IF(history[[#This Row],[在庫操作タイプ]]="注文",_xlfn.XLOOKUP(history[[#This Row],[商品ID]],stats[商品ID],stats[単価],"？"),"")</f>
        <v>82</v>
      </c>
    </row>
    <row r="267" spans="1:10">
      <c r="A267" s="6" t="s">
        <v>233</v>
      </c>
      <c r="B267" s="6" t="s">
        <v>426</v>
      </c>
      <c r="C267" s="6" t="s">
        <v>13</v>
      </c>
      <c r="D267" s="6">
        <v>4901360358373</v>
      </c>
      <c r="E267" s="6" t="s">
        <v>448</v>
      </c>
      <c r="F267" s="6">
        <v>-1</v>
      </c>
      <c r="G267" s="6">
        <v>8</v>
      </c>
      <c r="H267" s="9">
        <v>46538</v>
      </c>
      <c r="I267" s="8">
        <v>46220.468263888892</v>
      </c>
      <c r="J267" s="7">
        <f>IF(history[[#This Row],[在庫操作タイプ]]="注文",_xlfn.XLOOKUP(history[[#This Row],[商品ID]],stats[商品ID],stats[単価],"？"),"")</f>
        <v>82</v>
      </c>
    </row>
    <row r="268" spans="1:10">
      <c r="A268" s="6" t="s">
        <v>234</v>
      </c>
      <c r="B268" s="6" t="s">
        <v>424</v>
      </c>
      <c r="C268" s="6" t="s">
        <v>18</v>
      </c>
      <c r="D268" s="6">
        <v>4977821321491</v>
      </c>
      <c r="E268" s="6" t="s">
        <v>448</v>
      </c>
      <c r="F268" s="6">
        <v>-1</v>
      </c>
      <c r="G268" s="6">
        <v>0</v>
      </c>
      <c r="H268" s="6"/>
      <c r="I268" s="8">
        <v>46220.485243055555</v>
      </c>
      <c r="J268" s="7">
        <f>IF(history[[#This Row],[在庫操作タイプ]]="注文",_xlfn.XLOOKUP(history[[#This Row],[商品ID]],stats[商品ID],stats[単価],"？"),"")</f>
        <v>60</v>
      </c>
    </row>
    <row r="269" spans="1:10">
      <c r="A269" s="6" t="s">
        <v>236</v>
      </c>
      <c r="B269" s="6" t="s">
        <v>430</v>
      </c>
      <c r="C269" s="6" t="s">
        <v>206</v>
      </c>
      <c r="D269" s="6">
        <v>4901360351466</v>
      </c>
      <c r="E269" s="6" t="s">
        <v>448</v>
      </c>
      <c r="F269" s="6">
        <v>-1</v>
      </c>
      <c r="G269" s="6">
        <v>6</v>
      </c>
      <c r="H269" s="9">
        <v>46477</v>
      </c>
      <c r="I269" s="8">
        <v>46220.535868055558</v>
      </c>
      <c r="J269" s="7">
        <f>IF(history[[#This Row],[在庫操作タイプ]]="注文",_xlfn.XLOOKUP(history[[#This Row],[商品ID]],stats[商品ID],stats[単価],"？"),"")</f>
        <v>82</v>
      </c>
    </row>
    <row r="270" spans="1:10">
      <c r="A270" s="6" t="s">
        <v>238</v>
      </c>
      <c r="B270" s="6" t="s">
        <v>432</v>
      </c>
      <c r="C270" s="6" t="s">
        <v>6</v>
      </c>
      <c r="D270" s="6">
        <v>4901588617511</v>
      </c>
      <c r="E270" s="6" t="s">
        <v>448</v>
      </c>
      <c r="F270" s="6">
        <v>-1</v>
      </c>
      <c r="G270" s="6">
        <v>13</v>
      </c>
      <c r="H270" s="9">
        <v>46485</v>
      </c>
      <c r="I270" s="8">
        <v>46220.545057870368</v>
      </c>
      <c r="J270" s="7">
        <f>IF(history[[#This Row],[在庫操作タイプ]]="注文",_xlfn.XLOOKUP(history[[#This Row],[商品ID]],stats[商品ID],stats[単価],"？"),"")</f>
        <v>51</v>
      </c>
    </row>
    <row r="271" spans="1:10">
      <c r="A271" s="6" t="s">
        <v>240</v>
      </c>
      <c r="B271" s="6" t="s">
        <v>432</v>
      </c>
      <c r="C271" s="6" t="s">
        <v>6</v>
      </c>
      <c r="D271" s="6">
        <v>4901588617511</v>
      </c>
      <c r="E271" s="6" t="s">
        <v>448</v>
      </c>
      <c r="F271" s="6">
        <v>-4</v>
      </c>
      <c r="G271" s="6">
        <v>9</v>
      </c>
      <c r="H271" s="9">
        <v>46485</v>
      </c>
      <c r="I271" s="8">
        <v>46220.665312500001</v>
      </c>
      <c r="J271" s="7">
        <f>IF(history[[#This Row],[在庫操作タイプ]]="注文",_xlfn.XLOOKUP(history[[#This Row],[商品ID]],stats[商品ID],stats[単価],"？"),"")</f>
        <v>51</v>
      </c>
    </row>
    <row r="272" spans="1:10">
      <c r="A272" s="6" t="s">
        <v>242</v>
      </c>
      <c r="B272" s="6" t="s">
        <v>427</v>
      </c>
      <c r="C272" s="6" t="s">
        <v>46</v>
      </c>
      <c r="D272" s="6">
        <v>4901984088281</v>
      </c>
      <c r="E272" s="6" t="s">
        <v>448</v>
      </c>
      <c r="F272" s="6">
        <v>-1</v>
      </c>
      <c r="G272" s="6">
        <v>8</v>
      </c>
      <c r="H272" s="9">
        <v>46377</v>
      </c>
      <c r="I272" s="8">
        <v>46220.680231481485</v>
      </c>
      <c r="J272" s="7">
        <f>IF(history[[#This Row],[在庫操作タイプ]]="注文",_xlfn.XLOOKUP(history[[#This Row],[商品ID]],stats[商品ID],stats[単価],"？"),"")</f>
        <v>41</v>
      </c>
    </row>
    <row r="273" spans="1:10">
      <c r="A273" s="6" t="s">
        <v>244</v>
      </c>
      <c r="B273" s="6" t="s">
        <v>430</v>
      </c>
      <c r="C273" s="6" t="s">
        <v>206</v>
      </c>
      <c r="D273" s="6">
        <v>4901360351466</v>
      </c>
      <c r="E273" s="6" t="s">
        <v>448</v>
      </c>
      <c r="F273" s="6">
        <v>-1</v>
      </c>
      <c r="G273" s="6">
        <v>5</v>
      </c>
      <c r="H273" s="9">
        <v>46477</v>
      </c>
      <c r="I273" s="8">
        <v>46220.680231481485</v>
      </c>
      <c r="J273" s="7">
        <f>IF(history[[#This Row],[在庫操作タイプ]]="注文",_xlfn.XLOOKUP(history[[#This Row],[商品ID]],stats[商品ID],stats[単価],"？"),"")</f>
        <v>82</v>
      </c>
    </row>
    <row r="274" spans="1:10">
      <c r="A274" s="6" t="s">
        <v>245</v>
      </c>
      <c r="B274" s="6" t="s">
        <v>432</v>
      </c>
      <c r="C274" s="6" t="s">
        <v>6</v>
      </c>
      <c r="D274" s="6">
        <v>4901588617511</v>
      </c>
      <c r="E274" s="6" t="s">
        <v>448</v>
      </c>
      <c r="F274" s="6">
        <v>-2</v>
      </c>
      <c r="G274" s="6">
        <v>7</v>
      </c>
      <c r="H274" s="9">
        <v>46485</v>
      </c>
      <c r="I274" s="8">
        <v>46220.69935185185</v>
      </c>
      <c r="J274" s="7">
        <f>IF(history[[#This Row],[在庫操作タイプ]]="注文",_xlfn.XLOOKUP(history[[#This Row],[商品ID]],stats[商品ID],stats[単価],"？"),"")</f>
        <v>51</v>
      </c>
    </row>
    <row r="275" spans="1:10">
      <c r="A275" s="6" t="s">
        <v>247</v>
      </c>
      <c r="B275" s="6" t="s">
        <v>432</v>
      </c>
      <c r="C275" s="6" t="s">
        <v>6</v>
      </c>
      <c r="D275" s="6">
        <v>4901588617511</v>
      </c>
      <c r="E275" s="6" t="s">
        <v>448</v>
      </c>
      <c r="F275" s="6">
        <v>-1</v>
      </c>
      <c r="G275" s="6">
        <v>6</v>
      </c>
      <c r="H275" s="9">
        <v>46485</v>
      </c>
      <c r="I275" s="8">
        <v>46220.714409722219</v>
      </c>
      <c r="J275" s="7">
        <f>IF(history[[#This Row],[在庫操作タイプ]]="注文",_xlfn.XLOOKUP(history[[#This Row],[商品ID]],stats[商品ID],stats[単価],"？"),"")</f>
        <v>51</v>
      </c>
    </row>
    <row r="276" spans="1:10">
      <c r="A276" s="6" t="s">
        <v>537</v>
      </c>
      <c r="B276" s="6" t="s">
        <v>475</v>
      </c>
      <c r="C276" s="6" t="s">
        <v>476</v>
      </c>
      <c r="D276" s="6">
        <v>4901071268374</v>
      </c>
      <c r="E276" s="6" t="s">
        <v>538</v>
      </c>
      <c r="F276" s="6">
        <v>-2</v>
      </c>
      <c r="G276" s="6">
        <v>1</v>
      </c>
      <c r="H276" s="6"/>
      <c r="I276" s="8">
        <v>46223.466053240743</v>
      </c>
      <c r="J276" s="6" t="str">
        <f>IF(history[[#This Row],[在庫操作タイプ]]="注文",_xlfn.XLOOKUP(history[[#This Row],[商品ID]],stats[商品ID],stats[単価],"？"),"")</f>
        <v/>
      </c>
    </row>
    <row r="277" spans="1:10">
      <c r="A277" s="6" t="s">
        <v>539</v>
      </c>
      <c r="B277" s="6" t="s">
        <v>441</v>
      </c>
      <c r="C277" s="6" t="s">
        <v>415</v>
      </c>
      <c r="D277" s="6">
        <v>49698633</v>
      </c>
      <c r="E277" s="6" t="s">
        <v>538</v>
      </c>
      <c r="F277" s="6">
        <v>-2</v>
      </c>
      <c r="G277" s="6">
        <v>1</v>
      </c>
      <c r="H277" s="6"/>
      <c r="I277" s="8">
        <v>46223.466053240743</v>
      </c>
      <c r="J277" s="6" t="str">
        <f>IF(history[[#This Row],[在庫操作タイプ]]="注文",_xlfn.XLOOKUP(history[[#This Row],[商品ID]],stats[商品ID],stats[単価],"？"),"")</f>
        <v/>
      </c>
    </row>
    <row r="278" spans="1:10">
      <c r="A278" s="6" t="s">
        <v>540</v>
      </c>
      <c r="B278" s="6" t="s">
        <v>470</v>
      </c>
      <c r="C278" s="6" t="s">
        <v>62</v>
      </c>
      <c r="D278" s="6">
        <v>49698626</v>
      </c>
      <c r="E278" s="6" t="s">
        <v>538</v>
      </c>
      <c r="F278" s="6">
        <v>-1</v>
      </c>
      <c r="G278" s="6">
        <v>1</v>
      </c>
      <c r="H278" s="9">
        <v>46334</v>
      </c>
      <c r="I278" s="8">
        <v>46223.466053240743</v>
      </c>
      <c r="J278" s="6" t="str">
        <f>IF(history[[#This Row],[在庫操作タイプ]]="注文",_xlfn.XLOOKUP(history[[#This Row],[商品ID]],stats[商品ID],stats[単価],"？"),"")</f>
        <v/>
      </c>
    </row>
    <row r="279" spans="1:10">
      <c r="A279" s="6" t="s">
        <v>541</v>
      </c>
      <c r="B279" s="6" t="s">
        <v>516</v>
      </c>
      <c r="C279" s="6" t="s">
        <v>517</v>
      </c>
      <c r="D279" s="6">
        <v>4901035222220</v>
      </c>
      <c r="E279" s="6" t="s">
        <v>538</v>
      </c>
      <c r="F279" s="6">
        <v>-10</v>
      </c>
      <c r="G279" s="6">
        <v>0</v>
      </c>
      <c r="H279" s="6"/>
      <c r="I279" s="8">
        <v>46223.466053240743</v>
      </c>
      <c r="J279" s="6" t="str">
        <f>IF(history[[#This Row],[在庫操作タイプ]]="注文",_xlfn.XLOOKUP(history[[#This Row],[商品ID]],stats[商品ID],stats[単価],"？"),"")</f>
        <v/>
      </c>
    </row>
    <row r="280" spans="1:10">
      <c r="A280" s="6" t="s">
        <v>519</v>
      </c>
      <c r="B280" s="6" t="s">
        <v>426</v>
      </c>
      <c r="C280" s="6" t="s">
        <v>13</v>
      </c>
      <c r="D280" s="6">
        <v>4901360358373</v>
      </c>
      <c r="E280" s="6" t="s">
        <v>520</v>
      </c>
      <c r="F280" s="6">
        <v>0</v>
      </c>
      <c r="G280" s="6">
        <v>8</v>
      </c>
      <c r="H280" s="9">
        <v>46568</v>
      </c>
      <c r="I280" s="8">
        <v>46223.466458333336</v>
      </c>
      <c r="J280" s="6" t="str">
        <f>IF(history[[#This Row],[在庫操作タイプ]]="注文",_xlfn.XLOOKUP(history[[#This Row],[商品ID]],stats[商品ID],stats[単価],"？"),"")</f>
        <v/>
      </c>
    </row>
    <row r="281" spans="1:10">
      <c r="A281" s="6" t="s">
        <v>521</v>
      </c>
      <c r="B281" s="6" t="s">
        <v>433</v>
      </c>
      <c r="C281" s="6" t="s">
        <v>11</v>
      </c>
      <c r="D281" s="6">
        <v>49328714</v>
      </c>
      <c r="E281" s="6" t="s">
        <v>520</v>
      </c>
      <c r="F281" s="6">
        <v>0</v>
      </c>
      <c r="G281" s="6">
        <v>11</v>
      </c>
      <c r="H281" s="9">
        <v>46292</v>
      </c>
      <c r="I281" s="8">
        <v>46223.466458333336</v>
      </c>
      <c r="J281" s="6" t="str">
        <f>IF(history[[#This Row],[在庫操作タイプ]]="注文",_xlfn.XLOOKUP(history[[#This Row],[商品ID]],stats[商品ID],stats[単価],"？"),"")</f>
        <v/>
      </c>
    </row>
    <row r="282" spans="1:10">
      <c r="A282" s="6" t="s">
        <v>522</v>
      </c>
      <c r="B282" s="6" t="s">
        <v>428</v>
      </c>
      <c r="C282" s="6" t="s">
        <v>35</v>
      </c>
      <c r="D282" s="6">
        <v>4902888232374</v>
      </c>
      <c r="E282" s="6" t="s">
        <v>520</v>
      </c>
      <c r="F282" s="6">
        <v>0</v>
      </c>
      <c r="G282" s="6">
        <v>3</v>
      </c>
      <c r="H282" s="9">
        <v>46142</v>
      </c>
      <c r="I282" s="8">
        <v>46223.466458333336</v>
      </c>
      <c r="J282" s="6" t="str">
        <f>IF(history[[#This Row],[在庫操作タイプ]]="注文",_xlfn.XLOOKUP(history[[#This Row],[商品ID]],stats[商品ID],stats[単価],"？"),"")</f>
        <v/>
      </c>
    </row>
    <row r="283" spans="1:10">
      <c r="A283" s="6" t="s">
        <v>523</v>
      </c>
      <c r="B283" s="6" t="s">
        <v>475</v>
      </c>
      <c r="C283" s="6" t="s">
        <v>476</v>
      </c>
      <c r="D283" s="6">
        <v>4901071268374</v>
      </c>
      <c r="E283" s="6" t="s">
        <v>520</v>
      </c>
      <c r="F283" s="6">
        <v>0</v>
      </c>
      <c r="G283" s="6">
        <v>1</v>
      </c>
      <c r="H283" s="6"/>
      <c r="I283" s="8">
        <v>46223.466458333336</v>
      </c>
      <c r="J283" s="6" t="str">
        <f>IF(history[[#This Row],[在庫操作タイプ]]="注文",_xlfn.XLOOKUP(history[[#This Row],[商品ID]],stats[商品ID],stats[単価],"？"),"")</f>
        <v/>
      </c>
    </row>
    <row r="284" spans="1:10">
      <c r="A284" s="6" t="s">
        <v>524</v>
      </c>
      <c r="B284" s="6" t="s">
        <v>425</v>
      </c>
      <c r="C284" s="6" t="s">
        <v>32</v>
      </c>
      <c r="D284" s="6">
        <v>4901330578909</v>
      </c>
      <c r="E284" s="6" t="s">
        <v>520</v>
      </c>
      <c r="F284" s="6">
        <v>0</v>
      </c>
      <c r="G284" s="6">
        <v>7</v>
      </c>
      <c r="H284" s="9">
        <v>46184</v>
      </c>
      <c r="I284" s="8">
        <v>46223.466458333336</v>
      </c>
      <c r="J284" s="6" t="str">
        <f>IF(history[[#This Row],[在庫操作タイプ]]="注文",_xlfn.XLOOKUP(history[[#This Row],[商品ID]],stats[商品ID],stats[単価],"？"),"")</f>
        <v/>
      </c>
    </row>
    <row r="285" spans="1:10">
      <c r="A285" s="6" t="s">
        <v>525</v>
      </c>
      <c r="B285" s="6" t="s">
        <v>441</v>
      </c>
      <c r="C285" s="6" t="s">
        <v>415</v>
      </c>
      <c r="D285" s="6">
        <v>49698633</v>
      </c>
      <c r="E285" s="6" t="s">
        <v>520</v>
      </c>
      <c r="F285" s="6">
        <v>0</v>
      </c>
      <c r="G285" s="6">
        <v>1</v>
      </c>
      <c r="H285" s="6"/>
      <c r="I285" s="8">
        <v>46223.466458333336</v>
      </c>
      <c r="J285" s="6" t="str">
        <f>IF(history[[#This Row],[在庫操作タイプ]]="注文",_xlfn.XLOOKUP(history[[#This Row],[商品ID]],stats[商品ID],stats[単価],"？"),"")</f>
        <v/>
      </c>
    </row>
    <row r="286" spans="1:10">
      <c r="A286" s="6" t="s">
        <v>526</v>
      </c>
      <c r="B286" s="6" t="s">
        <v>427</v>
      </c>
      <c r="C286" s="6" t="s">
        <v>46</v>
      </c>
      <c r="D286" s="6">
        <v>4901984088281</v>
      </c>
      <c r="E286" s="6" t="s">
        <v>520</v>
      </c>
      <c r="F286" s="6">
        <v>0</v>
      </c>
      <c r="G286" s="6">
        <v>8</v>
      </c>
      <c r="H286" s="6"/>
      <c r="I286" s="8">
        <v>46223.466458333336</v>
      </c>
      <c r="J286" s="6" t="str">
        <f>IF(history[[#This Row],[在庫操作タイプ]]="注文",_xlfn.XLOOKUP(history[[#This Row],[商品ID]],stats[商品ID],stats[単価],"？"),"")</f>
        <v/>
      </c>
    </row>
    <row r="287" spans="1:10">
      <c r="A287" s="6" t="s">
        <v>527</v>
      </c>
      <c r="B287" s="6" t="s">
        <v>516</v>
      </c>
      <c r="C287" s="6" t="s">
        <v>517</v>
      </c>
      <c r="D287" s="6">
        <v>4901035222220</v>
      </c>
      <c r="E287" s="6" t="s">
        <v>520</v>
      </c>
      <c r="F287" s="6">
        <v>0</v>
      </c>
      <c r="G287" s="6">
        <v>0</v>
      </c>
      <c r="H287" s="6"/>
      <c r="I287" s="8">
        <v>46223.466458333336</v>
      </c>
      <c r="J287" s="6" t="str">
        <f>IF(history[[#This Row],[在庫操作タイプ]]="注文",_xlfn.XLOOKUP(history[[#This Row],[商品ID]],stats[商品ID],stats[単価],"？"),"")</f>
        <v/>
      </c>
    </row>
    <row r="288" spans="1:10">
      <c r="A288" s="6" t="s">
        <v>528</v>
      </c>
      <c r="B288" s="6" t="s">
        <v>430</v>
      </c>
      <c r="C288" s="6" t="s">
        <v>206</v>
      </c>
      <c r="D288" s="6">
        <v>4901360351466</v>
      </c>
      <c r="E288" s="6" t="s">
        <v>520</v>
      </c>
      <c r="F288" s="6">
        <v>0</v>
      </c>
      <c r="G288" s="6">
        <v>5</v>
      </c>
      <c r="H288" s="9">
        <v>46477</v>
      </c>
      <c r="I288" s="8">
        <v>46223.466458333336</v>
      </c>
      <c r="J288" s="6" t="str">
        <f>IF(history[[#This Row],[在庫操作タイプ]]="注文",_xlfn.XLOOKUP(history[[#This Row],[商品ID]],stats[商品ID],stats[単価],"？"),"")</f>
        <v/>
      </c>
    </row>
    <row r="289" spans="1:10">
      <c r="A289" s="6" t="s">
        <v>529</v>
      </c>
      <c r="B289" s="6" t="s">
        <v>470</v>
      </c>
      <c r="C289" s="6" t="s">
        <v>62</v>
      </c>
      <c r="D289" s="6">
        <v>49698626</v>
      </c>
      <c r="E289" s="6" t="s">
        <v>520</v>
      </c>
      <c r="F289" s="6">
        <v>0</v>
      </c>
      <c r="G289" s="6">
        <v>1</v>
      </c>
      <c r="H289" s="9">
        <v>46334</v>
      </c>
      <c r="I289" s="8">
        <v>46223.466458333336</v>
      </c>
      <c r="J289" s="6" t="str">
        <f>IF(history[[#This Row],[在庫操作タイプ]]="注文",_xlfn.XLOOKUP(history[[#This Row],[商品ID]],stats[商品ID],stats[単価],"？"),"")</f>
        <v/>
      </c>
    </row>
    <row r="290" spans="1:10">
      <c r="A290" s="6" t="s">
        <v>530</v>
      </c>
      <c r="B290" s="6" t="s">
        <v>467</v>
      </c>
      <c r="C290" s="6" t="s">
        <v>93</v>
      </c>
      <c r="D290" s="6">
        <v>4987035555919</v>
      </c>
      <c r="E290" s="6" t="s">
        <v>520</v>
      </c>
      <c r="F290" s="6">
        <v>0</v>
      </c>
      <c r="G290" s="6">
        <v>2</v>
      </c>
      <c r="H290" s="9">
        <v>46446</v>
      </c>
      <c r="I290" s="8">
        <v>46223.466458333336</v>
      </c>
      <c r="J290" s="6" t="str">
        <f>IF(history[[#This Row],[在庫操作タイプ]]="注文",_xlfn.XLOOKUP(history[[#This Row],[商品ID]],stats[商品ID],stats[単価],"？"),"")</f>
        <v/>
      </c>
    </row>
    <row r="291" spans="1:10">
      <c r="A291" s="6" t="s">
        <v>531</v>
      </c>
      <c r="B291" s="6" t="s">
        <v>423</v>
      </c>
      <c r="C291" s="6" t="s">
        <v>96</v>
      </c>
      <c r="D291" s="6">
        <v>4987240618607</v>
      </c>
      <c r="E291" s="6" t="s">
        <v>520</v>
      </c>
      <c r="F291" s="6">
        <v>0</v>
      </c>
      <c r="G291" s="6">
        <v>2</v>
      </c>
      <c r="H291" s="9">
        <v>46691</v>
      </c>
      <c r="I291" s="8">
        <v>46223.466458333336</v>
      </c>
      <c r="J291" s="6" t="str">
        <f>IF(history[[#This Row],[在庫操作タイプ]]="注文",_xlfn.XLOOKUP(history[[#This Row],[商品ID]],stats[商品ID],stats[単価],"？"),"")</f>
        <v/>
      </c>
    </row>
    <row r="292" spans="1:10">
      <c r="A292" s="6" t="s">
        <v>532</v>
      </c>
      <c r="B292" s="6" t="s">
        <v>432</v>
      </c>
      <c r="C292" s="6" t="s">
        <v>6</v>
      </c>
      <c r="D292" s="6">
        <v>4901588617511</v>
      </c>
      <c r="E292" s="6" t="s">
        <v>520</v>
      </c>
      <c r="F292" s="6">
        <v>0</v>
      </c>
      <c r="G292" s="6">
        <v>6</v>
      </c>
      <c r="H292" s="9">
        <v>46499</v>
      </c>
      <c r="I292" s="8">
        <v>46223.466458333336</v>
      </c>
      <c r="J292" s="6" t="str">
        <f>IF(history[[#This Row],[在庫操作タイプ]]="注文",_xlfn.XLOOKUP(history[[#This Row],[商品ID]],stats[商品ID],stats[単価],"？"),"")</f>
        <v/>
      </c>
    </row>
    <row r="293" spans="1:10">
      <c r="A293" s="6" t="s">
        <v>533</v>
      </c>
      <c r="B293" s="6" t="s">
        <v>431</v>
      </c>
      <c r="C293" s="6" t="s">
        <v>15</v>
      </c>
      <c r="D293" s="6">
        <v>4901360358397</v>
      </c>
      <c r="E293" s="6" t="s">
        <v>520</v>
      </c>
      <c r="F293" s="6">
        <v>0</v>
      </c>
      <c r="G293" s="6">
        <v>9</v>
      </c>
      <c r="H293" s="9">
        <v>46538</v>
      </c>
      <c r="I293" s="8">
        <v>46223.466458333336</v>
      </c>
      <c r="J293" s="6" t="str">
        <f>IF(history[[#This Row],[在庫操作タイプ]]="注文",_xlfn.XLOOKUP(history[[#This Row],[商品ID]],stats[商品ID],stats[単価],"？"),"")</f>
        <v/>
      </c>
    </row>
    <row r="294" spans="1:10">
      <c r="A294" s="6" t="s">
        <v>534</v>
      </c>
      <c r="B294" s="6" t="s">
        <v>429</v>
      </c>
      <c r="C294" s="6" t="s">
        <v>49</v>
      </c>
      <c r="D294" s="6">
        <v>4901313207734</v>
      </c>
      <c r="E294" s="6" t="s">
        <v>520</v>
      </c>
      <c r="F294" s="6">
        <v>0</v>
      </c>
      <c r="G294" s="6">
        <v>12</v>
      </c>
      <c r="H294" s="9">
        <v>46356</v>
      </c>
      <c r="I294" s="8">
        <v>46223.466458333336</v>
      </c>
      <c r="J294" s="6" t="str">
        <f>IF(history[[#This Row],[在庫操作タイプ]]="注文",_xlfn.XLOOKUP(history[[#This Row],[商品ID]],stats[商品ID],stats[単価],"？"),"")</f>
        <v/>
      </c>
    </row>
    <row r="295" spans="1:10">
      <c r="A295" s="6" t="s">
        <v>535</v>
      </c>
      <c r="B295" s="6" t="s">
        <v>472</v>
      </c>
      <c r="C295" s="6" t="s">
        <v>473</v>
      </c>
      <c r="D295" s="6">
        <v>4987035684411</v>
      </c>
      <c r="E295" s="6" t="s">
        <v>520</v>
      </c>
      <c r="F295" s="6">
        <v>0</v>
      </c>
      <c r="G295" s="6">
        <v>3</v>
      </c>
      <c r="H295" s="9">
        <v>46477</v>
      </c>
      <c r="I295" s="8">
        <v>46223.466458333336</v>
      </c>
      <c r="J295" s="6" t="str">
        <f>IF(history[[#This Row],[在庫操作タイプ]]="注文",_xlfn.XLOOKUP(history[[#This Row],[商品ID]],stats[商品ID],stats[単価],"？"),"")</f>
        <v/>
      </c>
    </row>
    <row r="296" spans="1:10">
      <c r="A296" s="6" t="s">
        <v>536</v>
      </c>
      <c r="B296" s="6" t="s">
        <v>479</v>
      </c>
      <c r="C296" s="6" t="s">
        <v>480</v>
      </c>
      <c r="D296" s="6">
        <v>4987035043515</v>
      </c>
      <c r="E296" s="6" t="s">
        <v>520</v>
      </c>
      <c r="F296" s="6">
        <v>0</v>
      </c>
      <c r="G296" s="6">
        <v>3</v>
      </c>
      <c r="H296" s="9">
        <v>46477</v>
      </c>
      <c r="I296" s="8">
        <v>46223.466458333336</v>
      </c>
      <c r="J296" s="6" t="str">
        <f>IF(history[[#This Row],[在庫操作タイプ]]="注文",_xlfn.XLOOKUP(history[[#This Row],[商品ID]],stats[商品ID],stats[単価],"？"),"")</f>
        <v/>
      </c>
    </row>
    <row r="297" spans="1:10">
      <c r="A297" s="6" t="s">
        <v>515</v>
      </c>
      <c r="B297" s="6" t="s">
        <v>516</v>
      </c>
      <c r="C297" s="6" t="s">
        <v>517</v>
      </c>
      <c r="D297" s="6">
        <v>4901035222220</v>
      </c>
      <c r="E297" s="6" t="s">
        <v>518</v>
      </c>
      <c r="F297" s="6">
        <v>0</v>
      </c>
      <c r="G297" s="6">
        <v>0</v>
      </c>
      <c r="H297" s="6"/>
      <c r="I297" s="8">
        <v>46223.467835648145</v>
      </c>
      <c r="J297" s="6" t="str">
        <f>IF(history[[#This Row],[在庫操作タイプ]]="注文",_xlfn.XLOOKUP(history[[#This Row],[商品ID]],stats[商品ID],stats[単価],"？"),"")</f>
        <v/>
      </c>
    </row>
    <row r="298" spans="1:10">
      <c r="A298" s="6" t="s">
        <v>492</v>
      </c>
      <c r="B298" s="6" t="s">
        <v>430</v>
      </c>
      <c r="C298" s="6" t="s">
        <v>206</v>
      </c>
      <c r="D298" s="6">
        <v>4901360351466</v>
      </c>
      <c r="E298" s="6" t="s">
        <v>461</v>
      </c>
      <c r="F298" s="6">
        <v>0</v>
      </c>
      <c r="G298" s="6">
        <v>5</v>
      </c>
      <c r="H298" s="9">
        <v>46477</v>
      </c>
      <c r="I298" s="8">
        <v>46223.477627314816</v>
      </c>
      <c r="J298" s="6" t="str">
        <f>IF(history[[#This Row],[在庫操作タイプ]]="注文",_xlfn.XLOOKUP(history[[#This Row],[商品ID]],stats[商品ID],stats[単価],"？"),"")</f>
        <v/>
      </c>
    </row>
    <row r="299" spans="1:10">
      <c r="A299" s="6" t="s">
        <v>493</v>
      </c>
      <c r="B299" s="6" t="s">
        <v>425</v>
      </c>
      <c r="C299" s="6" t="s">
        <v>32</v>
      </c>
      <c r="D299" s="6">
        <v>4901330578909</v>
      </c>
      <c r="E299" s="6" t="s">
        <v>461</v>
      </c>
      <c r="F299" s="6">
        <v>0</v>
      </c>
      <c r="G299" s="6">
        <v>7</v>
      </c>
      <c r="H299" s="9">
        <v>46184</v>
      </c>
      <c r="I299" s="8">
        <v>46223.477627314816</v>
      </c>
      <c r="J299" s="6" t="str">
        <f>IF(history[[#This Row],[在庫操作タイプ]]="注文",_xlfn.XLOOKUP(history[[#This Row],[商品ID]],stats[商品ID],stats[単価],"？"),"")</f>
        <v/>
      </c>
    </row>
    <row r="300" spans="1:10">
      <c r="A300" s="6" t="s">
        <v>494</v>
      </c>
      <c r="B300" s="6" t="s">
        <v>441</v>
      </c>
      <c r="C300" s="6" t="s">
        <v>415</v>
      </c>
      <c r="D300" s="6">
        <v>49698633</v>
      </c>
      <c r="E300" s="6" t="s">
        <v>461</v>
      </c>
      <c r="F300" s="6">
        <v>0</v>
      </c>
      <c r="G300" s="6">
        <v>1</v>
      </c>
      <c r="H300" s="6"/>
      <c r="I300" s="8">
        <v>46223.477627314816</v>
      </c>
      <c r="J300" s="6" t="str">
        <f>IF(history[[#This Row],[在庫操作タイプ]]="注文",_xlfn.XLOOKUP(history[[#This Row],[商品ID]],stats[商品ID],stats[単価],"？"),"")</f>
        <v/>
      </c>
    </row>
    <row r="301" spans="1:10">
      <c r="A301" s="6" t="s">
        <v>495</v>
      </c>
      <c r="B301" s="6" t="s">
        <v>437</v>
      </c>
      <c r="C301" s="6" t="s">
        <v>280</v>
      </c>
      <c r="D301" s="6">
        <v>4970055804099</v>
      </c>
      <c r="E301" s="6" t="s">
        <v>461</v>
      </c>
      <c r="F301" s="6">
        <v>8</v>
      </c>
      <c r="G301" s="6">
        <v>8</v>
      </c>
      <c r="H301" s="9">
        <v>46321</v>
      </c>
      <c r="I301" s="8">
        <v>46223.477627314816</v>
      </c>
      <c r="J301" s="6" t="str">
        <f>IF(history[[#This Row],[在庫操作タイプ]]="注文",_xlfn.XLOOKUP(history[[#This Row],[商品ID]],stats[商品ID],stats[単価],"？"),"")</f>
        <v/>
      </c>
    </row>
    <row r="302" spans="1:10">
      <c r="A302" s="6" t="s">
        <v>496</v>
      </c>
      <c r="B302" s="6" t="s">
        <v>475</v>
      </c>
      <c r="C302" s="6" t="s">
        <v>476</v>
      </c>
      <c r="D302" s="6">
        <v>4901071268374</v>
      </c>
      <c r="E302" s="6" t="s">
        <v>461</v>
      </c>
      <c r="F302" s="6">
        <v>0</v>
      </c>
      <c r="G302" s="6">
        <v>1</v>
      </c>
      <c r="H302" s="6"/>
      <c r="I302" s="8">
        <v>46223.477627314816</v>
      </c>
      <c r="J302" s="6" t="str">
        <f>IF(history[[#This Row],[在庫操作タイプ]]="注文",_xlfn.XLOOKUP(history[[#This Row],[商品ID]],stats[商品ID],stats[単価],"？"),"")</f>
        <v/>
      </c>
    </row>
    <row r="303" spans="1:10">
      <c r="A303" s="6" t="s">
        <v>497</v>
      </c>
      <c r="B303" s="6" t="s">
        <v>467</v>
      </c>
      <c r="C303" s="6" t="s">
        <v>93</v>
      </c>
      <c r="D303" s="6">
        <v>4987035555919</v>
      </c>
      <c r="E303" s="6" t="s">
        <v>461</v>
      </c>
      <c r="F303" s="6">
        <v>0</v>
      </c>
      <c r="G303" s="6">
        <v>2</v>
      </c>
      <c r="H303" s="9">
        <v>46446</v>
      </c>
      <c r="I303" s="8">
        <v>46223.477627314816</v>
      </c>
      <c r="J303" s="6" t="str">
        <f>IF(history[[#This Row],[在庫操作タイプ]]="注文",_xlfn.XLOOKUP(history[[#This Row],[商品ID]],stats[商品ID],stats[単価],"？"),"")</f>
        <v/>
      </c>
    </row>
    <row r="304" spans="1:10">
      <c r="A304" s="6" t="s">
        <v>498</v>
      </c>
      <c r="B304" s="6" t="s">
        <v>457</v>
      </c>
      <c r="C304" s="6" t="s">
        <v>458</v>
      </c>
      <c r="D304" s="6">
        <v>4901940115846</v>
      </c>
      <c r="E304" s="6" t="s">
        <v>461</v>
      </c>
      <c r="F304" s="6">
        <v>6</v>
      </c>
      <c r="G304" s="6">
        <v>6</v>
      </c>
      <c r="H304" s="9">
        <v>46429</v>
      </c>
      <c r="I304" s="8">
        <v>46223.477627314816</v>
      </c>
      <c r="J304" s="6" t="str">
        <f>IF(history[[#This Row],[在庫操作タイプ]]="注文",_xlfn.XLOOKUP(history[[#This Row],[商品ID]],stats[商品ID],stats[単価],"？"),"")</f>
        <v/>
      </c>
    </row>
    <row r="305" spans="1:10">
      <c r="A305" s="6" t="s">
        <v>499</v>
      </c>
      <c r="B305" s="6" t="s">
        <v>427</v>
      </c>
      <c r="C305" s="6" t="s">
        <v>46</v>
      </c>
      <c r="D305" s="6">
        <v>4901984088281</v>
      </c>
      <c r="E305" s="6" t="s">
        <v>461</v>
      </c>
      <c r="F305" s="6">
        <v>0</v>
      </c>
      <c r="G305" s="6">
        <v>8</v>
      </c>
      <c r="H305" s="6"/>
      <c r="I305" s="8">
        <v>46223.477627314816</v>
      </c>
      <c r="J305" s="6" t="str">
        <f>IF(history[[#This Row],[在庫操作タイプ]]="注文",_xlfn.XLOOKUP(history[[#This Row],[商品ID]],stats[商品ID],stats[単価],"？"),"")</f>
        <v/>
      </c>
    </row>
    <row r="306" spans="1:10">
      <c r="A306" s="6" t="s">
        <v>500</v>
      </c>
      <c r="B306" s="6" t="s">
        <v>426</v>
      </c>
      <c r="C306" s="6" t="s">
        <v>13</v>
      </c>
      <c r="D306" s="6">
        <v>4901360358373</v>
      </c>
      <c r="E306" s="6" t="s">
        <v>461</v>
      </c>
      <c r="F306" s="6">
        <v>0</v>
      </c>
      <c r="G306" s="6">
        <v>8</v>
      </c>
      <c r="H306" s="9">
        <v>46568</v>
      </c>
      <c r="I306" s="8">
        <v>46223.477627314816</v>
      </c>
      <c r="J306" s="6" t="str">
        <f>IF(history[[#This Row],[在庫操作タイプ]]="注文",_xlfn.XLOOKUP(history[[#This Row],[商品ID]],stats[商品ID],stats[単価],"？"),"")</f>
        <v/>
      </c>
    </row>
    <row r="307" spans="1:10">
      <c r="A307" s="6" t="s">
        <v>501</v>
      </c>
      <c r="B307" s="6" t="s">
        <v>438</v>
      </c>
      <c r="C307" s="6" t="s">
        <v>292</v>
      </c>
      <c r="D307" s="6">
        <v>4901360353057</v>
      </c>
      <c r="E307" s="6" t="s">
        <v>461</v>
      </c>
      <c r="F307" s="6">
        <v>9</v>
      </c>
      <c r="G307" s="6">
        <v>9</v>
      </c>
      <c r="H307" s="9">
        <v>46388</v>
      </c>
      <c r="I307" s="8">
        <v>46223.477627314816</v>
      </c>
      <c r="J307" s="6" t="str">
        <f>IF(history[[#This Row],[在庫操作タイプ]]="注文",_xlfn.XLOOKUP(history[[#This Row],[商品ID]],stats[商品ID],stats[単価],"？"),"")</f>
        <v/>
      </c>
    </row>
    <row r="308" spans="1:10">
      <c r="A308" s="6" t="s">
        <v>502</v>
      </c>
      <c r="B308" s="6" t="s">
        <v>431</v>
      </c>
      <c r="C308" s="6" t="s">
        <v>15</v>
      </c>
      <c r="D308" s="6">
        <v>4901360358397</v>
      </c>
      <c r="E308" s="6" t="s">
        <v>461</v>
      </c>
      <c r="F308" s="6">
        <v>0</v>
      </c>
      <c r="G308" s="6">
        <v>9</v>
      </c>
      <c r="H308" s="9">
        <v>46538</v>
      </c>
      <c r="I308" s="8">
        <v>46223.477627314816</v>
      </c>
      <c r="J308" s="6" t="str">
        <f>IF(history[[#This Row],[在庫操作タイプ]]="注文",_xlfn.XLOOKUP(history[[#This Row],[商品ID]],stats[商品ID],stats[単価],"？"),"")</f>
        <v/>
      </c>
    </row>
    <row r="309" spans="1:10">
      <c r="A309" s="6" t="s">
        <v>503</v>
      </c>
      <c r="B309" s="6" t="s">
        <v>432</v>
      </c>
      <c r="C309" s="6" t="s">
        <v>6</v>
      </c>
      <c r="D309" s="6">
        <v>4901588617511</v>
      </c>
      <c r="E309" s="6" t="s">
        <v>461</v>
      </c>
      <c r="F309" s="6">
        <v>0</v>
      </c>
      <c r="G309" s="6">
        <v>6</v>
      </c>
      <c r="H309" s="9">
        <v>46499</v>
      </c>
      <c r="I309" s="8">
        <v>46223.477627314816</v>
      </c>
      <c r="J309" s="6" t="str">
        <f>IF(history[[#This Row],[在庫操作タイプ]]="注文",_xlfn.XLOOKUP(history[[#This Row],[商品ID]],stats[商品ID],stats[単価],"？"),"")</f>
        <v/>
      </c>
    </row>
    <row r="310" spans="1:10">
      <c r="A310" s="6" t="s">
        <v>504</v>
      </c>
      <c r="B310" s="6" t="s">
        <v>424</v>
      </c>
      <c r="C310" s="6" t="s">
        <v>18</v>
      </c>
      <c r="D310" s="6">
        <v>4977821321491</v>
      </c>
      <c r="E310" s="6" t="s">
        <v>461</v>
      </c>
      <c r="F310" s="6">
        <v>20</v>
      </c>
      <c r="G310" s="6">
        <v>20</v>
      </c>
      <c r="H310" s="9">
        <v>46289</v>
      </c>
      <c r="I310" s="8">
        <v>46223.477627314816</v>
      </c>
      <c r="J310" s="6" t="str">
        <f>IF(history[[#This Row],[在庫操作タイプ]]="注文",_xlfn.XLOOKUP(history[[#This Row],[商品ID]],stats[商品ID],stats[単価],"？"),"")</f>
        <v/>
      </c>
    </row>
    <row r="311" spans="1:10">
      <c r="A311" s="6" t="s">
        <v>505</v>
      </c>
      <c r="B311" s="6" t="s">
        <v>423</v>
      </c>
      <c r="C311" s="6" t="s">
        <v>96</v>
      </c>
      <c r="D311" s="6">
        <v>4987240618607</v>
      </c>
      <c r="E311" s="6" t="s">
        <v>461</v>
      </c>
      <c r="F311" s="6">
        <v>0</v>
      </c>
      <c r="G311" s="6">
        <v>2</v>
      </c>
      <c r="H311" s="9">
        <v>46691</v>
      </c>
      <c r="I311" s="8">
        <v>46223.477627314816</v>
      </c>
      <c r="J311" s="6" t="str">
        <f>IF(history[[#This Row],[在庫操作タイプ]]="注文",_xlfn.XLOOKUP(history[[#This Row],[商品ID]],stats[商品ID],stats[単価],"？"),"")</f>
        <v/>
      </c>
    </row>
    <row r="312" spans="1:10">
      <c r="A312" s="6" t="s">
        <v>506</v>
      </c>
      <c r="B312" s="6" t="s">
        <v>428</v>
      </c>
      <c r="C312" s="6" t="s">
        <v>35</v>
      </c>
      <c r="D312" s="6">
        <v>4902888232374</v>
      </c>
      <c r="E312" s="6" t="s">
        <v>461</v>
      </c>
      <c r="F312" s="6">
        <v>10</v>
      </c>
      <c r="G312" s="6">
        <v>13</v>
      </c>
      <c r="H312" s="9">
        <v>46142</v>
      </c>
      <c r="I312" s="8">
        <v>46223.477627314816</v>
      </c>
      <c r="J312" s="6" t="str">
        <f>IF(history[[#This Row],[在庫操作タイプ]]="注文",_xlfn.XLOOKUP(history[[#This Row],[商品ID]],stats[商品ID],stats[単価],"？"),"")</f>
        <v/>
      </c>
    </row>
    <row r="313" spans="1:10">
      <c r="A313" s="6" t="s">
        <v>507</v>
      </c>
      <c r="B313" s="6" t="s">
        <v>429</v>
      </c>
      <c r="C313" s="6" t="s">
        <v>49</v>
      </c>
      <c r="D313" s="6">
        <v>4901313207734</v>
      </c>
      <c r="E313" s="6" t="s">
        <v>461</v>
      </c>
      <c r="F313" s="6">
        <v>0</v>
      </c>
      <c r="G313" s="6">
        <v>12</v>
      </c>
      <c r="H313" s="9">
        <v>46356</v>
      </c>
      <c r="I313" s="8">
        <v>46223.477627314816</v>
      </c>
      <c r="J313" s="6" t="str">
        <f>IF(history[[#This Row],[在庫操作タイプ]]="注文",_xlfn.XLOOKUP(history[[#This Row],[商品ID]],stats[商品ID],stats[単価],"？"),"")</f>
        <v/>
      </c>
    </row>
    <row r="314" spans="1:10">
      <c r="A314" s="6" t="s">
        <v>508</v>
      </c>
      <c r="B314" s="6" t="s">
        <v>479</v>
      </c>
      <c r="C314" s="6" t="s">
        <v>480</v>
      </c>
      <c r="D314" s="6">
        <v>4987035043515</v>
      </c>
      <c r="E314" s="6" t="s">
        <v>461</v>
      </c>
      <c r="F314" s="6">
        <v>0</v>
      </c>
      <c r="G314" s="6">
        <v>3</v>
      </c>
      <c r="H314" s="9">
        <v>46477</v>
      </c>
      <c r="I314" s="8">
        <v>46223.477627314816</v>
      </c>
      <c r="J314" s="6" t="str">
        <f>IF(history[[#This Row],[在庫操作タイプ]]="注文",_xlfn.XLOOKUP(history[[#This Row],[商品ID]],stats[商品ID],stats[単価],"？"),"")</f>
        <v/>
      </c>
    </row>
    <row r="315" spans="1:10">
      <c r="A315" s="6" t="s">
        <v>509</v>
      </c>
      <c r="B315" s="6" t="s">
        <v>472</v>
      </c>
      <c r="C315" s="6" t="s">
        <v>473</v>
      </c>
      <c r="D315" s="6">
        <v>4987035684411</v>
      </c>
      <c r="E315" s="6" t="s">
        <v>461</v>
      </c>
      <c r="F315" s="6">
        <v>0</v>
      </c>
      <c r="G315" s="6">
        <v>3</v>
      </c>
      <c r="H315" s="9">
        <v>46477</v>
      </c>
      <c r="I315" s="8">
        <v>46223.477627314816</v>
      </c>
      <c r="J315" s="6" t="str">
        <f>IF(history[[#This Row],[在庫操作タイプ]]="注文",_xlfn.XLOOKUP(history[[#This Row],[商品ID]],stats[商品ID],stats[単価],"？"),"")</f>
        <v/>
      </c>
    </row>
    <row r="316" spans="1:10">
      <c r="A316" s="6" t="s">
        <v>510</v>
      </c>
      <c r="B316" s="6" t="s">
        <v>470</v>
      </c>
      <c r="C316" s="6" t="s">
        <v>62</v>
      </c>
      <c r="D316" s="6">
        <v>49698626</v>
      </c>
      <c r="E316" s="6" t="s">
        <v>461</v>
      </c>
      <c r="F316" s="6">
        <v>0</v>
      </c>
      <c r="G316" s="6">
        <v>1</v>
      </c>
      <c r="H316" s="9">
        <v>46334</v>
      </c>
      <c r="I316" s="8">
        <v>46223.477627314816</v>
      </c>
      <c r="J316" s="6" t="str">
        <f>IF(history[[#This Row],[在庫操作タイプ]]="注文",_xlfn.XLOOKUP(history[[#This Row],[商品ID]],stats[商品ID],stats[単価],"？"),"")</f>
        <v/>
      </c>
    </row>
    <row r="317" spans="1:10">
      <c r="A317" s="6" t="s">
        <v>511</v>
      </c>
      <c r="B317" s="6" t="s">
        <v>439</v>
      </c>
      <c r="C317" s="6" t="s">
        <v>271</v>
      </c>
      <c r="D317" s="6">
        <v>4901940115822</v>
      </c>
      <c r="E317" s="6" t="s">
        <v>461</v>
      </c>
      <c r="F317" s="6">
        <v>6</v>
      </c>
      <c r="G317" s="6">
        <v>6</v>
      </c>
      <c r="H317" s="9">
        <v>46363</v>
      </c>
      <c r="I317" s="8">
        <v>46223.477627314816</v>
      </c>
      <c r="J317" s="6" t="str">
        <f>IF(history[[#This Row],[在庫操作タイプ]]="注文",_xlfn.XLOOKUP(history[[#This Row],[商品ID]],stats[商品ID],stats[単価],"？"),"")</f>
        <v/>
      </c>
    </row>
    <row r="318" spans="1:10">
      <c r="A318" s="6" t="s">
        <v>512</v>
      </c>
      <c r="B318" s="6" t="s">
        <v>435</v>
      </c>
      <c r="C318" s="6" t="s">
        <v>330</v>
      </c>
      <c r="D318" s="6">
        <v>4901940117468</v>
      </c>
      <c r="E318" s="6" t="s">
        <v>461</v>
      </c>
      <c r="F318" s="6">
        <v>6</v>
      </c>
      <c r="G318" s="6">
        <v>6</v>
      </c>
      <c r="H318" s="9">
        <v>46347</v>
      </c>
      <c r="I318" s="8">
        <v>46223.477627314816</v>
      </c>
      <c r="J318" s="6" t="str">
        <f>IF(history[[#This Row],[在庫操作タイプ]]="注文",_xlfn.XLOOKUP(history[[#This Row],[商品ID]],stats[商品ID],stats[単価],"？"),"")</f>
        <v/>
      </c>
    </row>
    <row r="319" spans="1:10">
      <c r="A319" s="6" t="s">
        <v>513</v>
      </c>
      <c r="B319" s="6" t="s">
        <v>436</v>
      </c>
      <c r="C319" s="6" t="s">
        <v>277</v>
      </c>
      <c r="D319" s="6">
        <v>4970055804112</v>
      </c>
      <c r="E319" s="6" t="s">
        <v>461</v>
      </c>
      <c r="F319" s="6">
        <v>8</v>
      </c>
      <c r="G319" s="6">
        <v>8</v>
      </c>
      <c r="H319" s="9">
        <v>46331</v>
      </c>
      <c r="I319" s="8">
        <v>46223.477627314816</v>
      </c>
      <c r="J319" s="6" t="str">
        <f>IF(history[[#This Row],[在庫操作タイプ]]="注文",_xlfn.XLOOKUP(history[[#This Row],[商品ID]],stats[商品ID],stats[単価],"？"),"")</f>
        <v/>
      </c>
    </row>
    <row r="320" spans="1:10">
      <c r="A320" s="6" t="s">
        <v>514</v>
      </c>
      <c r="B320" s="6" t="s">
        <v>433</v>
      </c>
      <c r="C320" s="6" t="s">
        <v>11</v>
      </c>
      <c r="D320" s="6">
        <v>49328714</v>
      </c>
      <c r="E320" s="6" t="s">
        <v>461</v>
      </c>
      <c r="F320" s="6">
        <v>0</v>
      </c>
      <c r="G320" s="6">
        <v>11</v>
      </c>
      <c r="H320" s="9">
        <v>46292</v>
      </c>
      <c r="I320" s="8">
        <v>46223.477627314816</v>
      </c>
      <c r="J320" s="6" t="str">
        <f>IF(history[[#This Row],[在庫操作タイプ]]="注文",_xlfn.XLOOKUP(history[[#This Row],[商品ID]],stats[商品ID],stats[単価],"？"),"")</f>
        <v/>
      </c>
    </row>
    <row r="321" spans="1:10">
      <c r="A321" s="6" t="s">
        <v>249</v>
      </c>
      <c r="B321" s="6" t="s">
        <v>428</v>
      </c>
      <c r="C321" s="6" t="s">
        <v>35</v>
      </c>
      <c r="D321" s="6">
        <v>4902888232374</v>
      </c>
      <c r="E321" s="6" t="s">
        <v>448</v>
      </c>
      <c r="F321" s="6">
        <v>-1</v>
      </c>
      <c r="G321" s="6">
        <v>12</v>
      </c>
      <c r="H321" s="9">
        <v>46142</v>
      </c>
      <c r="I321" s="8">
        <v>46223.479537037034</v>
      </c>
      <c r="J321" s="6">
        <f>IF(history[[#This Row],[在庫操作タイプ]]="注文",_xlfn.XLOOKUP(history[[#This Row],[商品ID]],stats[商品ID],stats[単価],"？"),"")</f>
        <v>134</v>
      </c>
    </row>
    <row r="322" spans="1:10">
      <c r="A322" s="6" t="s">
        <v>251</v>
      </c>
      <c r="B322" s="6" t="s">
        <v>426</v>
      </c>
      <c r="C322" s="6" t="s">
        <v>13</v>
      </c>
      <c r="D322" s="6">
        <v>4901360358373</v>
      </c>
      <c r="E322" s="6" t="s">
        <v>448</v>
      </c>
      <c r="F322" s="6">
        <v>-1</v>
      </c>
      <c r="G322" s="6">
        <v>7</v>
      </c>
      <c r="H322" s="9">
        <v>46568</v>
      </c>
      <c r="I322" s="8">
        <v>46223.535185185188</v>
      </c>
      <c r="J322" s="6">
        <f>IF(history[[#This Row],[在庫操作タイプ]]="注文",_xlfn.XLOOKUP(history[[#This Row],[商品ID]],stats[商品ID],stats[単価],"？"),"")</f>
        <v>82</v>
      </c>
    </row>
    <row r="323" spans="1:10">
      <c r="A323" s="6" t="s">
        <v>253</v>
      </c>
      <c r="B323" s="6" t="s">
        <v>431</v>
      </c>
      <c r="C323" s="6" t="s">
        <v>15</v>
      </c>
      <c r="D323" s="6">
        <v>4901360358397</v>
      </c>
      <c r="E323" s="6" t="s">
        <v>448</v>
      </c>
      <c r="F323" s="6">
        <v>-1</v>
      </c>
      <c r="G323" s="6">
        <v>8</v>
      </c>
      <c r="H323" s="9">
        <v>46538</v>
      </c>
      <c r="I323" s="8">
        <v>46223.69872685185</v>
      </c>
      <c r="J323" s="6">
        <f>IF(history[[#This Row],[在庫操作タイプ]]="注文",_xlfn.XLOOKUP(history[[#This Row],[商品ID]],stats[商品ID],stats[単価],"？"),"")</f>
        <v>82</v>
      </c>
    </row>
    <row r="324" spans="1:10">
      <c r="A324" s="6" t="s">
        <v>255</v>
      </c>
      <c r="B324" s="6" t="s">
        <v>430</v>
      </c>
      <c r="C324" s="6" t="s">
        <v>206</v>
      </c>
      <c r="D324" s="6">
        <v>4901360351466</v>
      </c>
      <c r="E324" s="6" t="s">
        <v>448</v>
      </c>
      <c r="F324" s="6">
        <v>-1</v>
      </c>
      <c r="G324" s="6">
        <v>4</v>
      </c>
      <c r="H324" s="9">
        <v>46477</v>
      </c>
      <c r="I324" s="8">
        <v>46223.713518518518</v>
      </c>
      <c r="J324" s="6">
        <f>IF(history[[#This Row],[在庫操作タイプ]]="注文",_xlfn.XLOOKUP(history[[#This Row],[商品ID]],stats[商品ID],stats[単価],"？"),"")</f>
        <v>82</v>
      </c>
    </row>
    <row r="325" spans="1:10">
      <c r="A325" s="6" t="s">
        <v>257</v>
      </c>
      <c r="B325" s="6" t="s">
        <v>424</v>
      </c>
      <c r="C325" s="6" t="s">
        <v>18</v>
      </c>
      <c r="D325" s="6">
        <v>4977821321491</v>
      </c>
      <c r="E325" s="6" t="s">
        <v>448</v>
      </c>
      <c r="F325" s="6">
        <v>-1</v>
      </c>
      <c r="G325" s="6">
        <v>19</v>
      </c>
      <c r="H325" s="9">
        <v>46289</v>
      </c>
      <c r="I325" s="8">
        <v>46223.713518518518</v>
      </c>
      <c r="J325" s="6">
        <f>IF(history[[#This Row],[在庫操作タイプ]]="注文",_xlfn.XLOOKUP(history[[#This Row],[商品ID]],stats[商品ID],stats[単価],"？"),"")</f>
        <v>60</v>
      </c>
    </row>
    <row r="326" spans="1:10">
      <c r="A326" s="6" t="s">
        <v>258</v>
      </c>
      <c r="B326" s="6" t="s">
        <v>431</v>
      </c>
      <c r="C326" s="6" t="s">
        <v>15</v>
      </c>
      <c r="D326" s="6">
        <v>4901360358397</v>
      </c>
      <c r="E326" s="6" t="s">
        <v>448</v>
      </c>
      <c r="F326" s="6">
        <v>-1</v>
      </c>
      <c r="G326" s="6">
        <v>7</v>
      </c>
      <c r="H326" s="9">
        <v>46538</v>
      </c>
      <c r="I326" s="8">
        <v>46223.713553240741</v>
      </c>
      <c r="J326" s="6">
        <f>IF(history[[#This Row],[在庫操作タイプ]]="注文",_xlfn.XLOOKUP(history[[#This Row],[商品ID]],stats[商品ID],stats[単価],"？"),"")</f>
        <v>82</v>
      </c>
    </row>
    <row r="327" spans="1:10">
      <c r="A327" s="6" t="s">
        <v>260</v>
      </c>
      <c r="B327" s="6" t="s">
        <v>427</v>
      </c>
      <c r="C327" s="6" t="s">
        <v>46</v>
      </c>
      <c r="D327" s="6">
        <v>4901984088281</v>
      </c>
      <c r="E327" s="6" t="s">
        <v>448</v>
      </c>
      <c r="F327" s="6">
        <v>-1</v>
      </c>
      <c r="G327" s="6">
        <v>7</v>
      </c>
      <c r="H327" s="6"/>
      <c r="I327" s="8">
        <v>46223.713553240741</v>
      </c>
      <c r="J327" s="6">
        <f>IF(history[[#This Row],[在庫操作タイプ]]="注文",_xlfn.XLOOKUP(history[[#This Row],[商品ID]],stats[商品ID],stats[単価],"？"),"")</f>
        <v>41</v>
      </c>
    </row>
    <row r="328" spans="1:10">
      <c r="A328" s="6" t="s">
        <v>261</v>
      </c>
      <c r="B328" s="6" t="s">
        <v>422</v>
      </c>
      <c r="C328" s="6" t="s">
        <v>21</v>
      </c>
      <c r="D328" s="6">
        <v>45075469</v>
      </c>
      <c r="E328" s="6" t="s">
        <v>448</v>
      </c>
      <c r="F328" s="6">
        <v>-1</v>
      </c>
      <c r="G328" s="6">
        <v>15</v>
      </c>
      <c r="H328" s="6"/>
      <c r="I328" s="8">
        <v>46223.720648148148</v>
      </c>
      <c r="J328" s="6">
        <f>IF(history[[#This Row],[在庫操作タイプ]]="注文",_xlfn.XLOOKUP(history[[#This Row],[商品ID]],stats[商品ID],stats[単価],"？"),"")</f>
        <v>185</v>
      </c>
    </row>
    <row r="329" spans="1:10">
      <c r="A329" s="6" t="s">
        <v>263</v>
      </c>
      <c r="B329" s="6" t="s">
        <v>426</v>
      </c>
      <c r="C329" s="6" t="s">
        <v>13</v>
      </c>
      <c r="D329" s="6">
        <v>4901360358373</v>
      </c>
      <c r="E329" s="6" t="s">
        <v>448</v>
      </c>
      <c r="F329" s="6">
        <v>-1</v>
      </c>
      <c r="G329" s="6">
        <v>6</v>
      </c>
      <c r="H329" s="9">
        <v>46568</v>
      </c>
      <c r="I329" s="8">
        <v>46223.762858796297</v>
      </c>
      <c r="J329" s="6">
        <f>IF(history[[#This Row],[在庫操作タイプ]]="注文",_xlfn.XLOOKUP(history[[#This Row],[商品ID]],stats[商品ID],stats[単価],"？"),"")</f>
        <v>82</v>
      </c>
    </row>
    <row r="330" spans="1:10">
      <c r="A330" s="6" t="s">
        <v>265</v>
      </c>
      <c r="B330" s="6" t="s">
        <v>431</v>
      </c>
      <c r="C330" s="6" t="s">
        <v>15</v>
      </c>
      <c r="D330" s="6">
        <v>4901360358397</v>
      </c>
      <c r="E330" s="6" t="s">
        <v>448</v>
      </c>
      <c r="F330" s="6">
        <v>-1</v>
      </c>
      <c r="G330" s="6">
        <v>6</v>
      </c>
      <c r="H330" s="9">
        <v>46538</v>
      </c>
      <c r="I330" s="8">
        <v>46223.772858796299</v>
      </c>
      <c r="J330" s="6">
        <f>IF(history[[#This Row],[在庫操作タイプ]]="注文",_xlfn.XLOOKUP(history[[#This Row],[商品ID]],stats[商品ID],stats[単価],"？"),"")</f>
        <v>82</v>
      </c>
    </row>
    <row r="331" spans="1:10">
      <c r="A331" s="6" t="s">
        <v>267</v>
      </c>
      <c r="B331" s="6" t="s">
        <v>424</v>
      </c>
      <c r="C331" s="6" t="s">
        <v>18</v>
      </c>
      <c r="D331" s="6">
        <v>4977821321491</v>
      </c>
      <c r="E331" s="6" t="s">
        <v>448</v>
      </c>
      <c r="F331" s="6">
        <v>-1</v>
      </c>
      <c r="G331" s="6">
        <v>18</v>
      </c>
      <c r="H331" s="9">
        <v>46289</v>
      </c>
      <c r="I331" s="8">
        <v>46223.774942129632</v>
      </c>
      <c r="J331" s="6">
        <f>IF(history[[#This Row],[在庫操作タイプ]]="注文",_xlfn.XLOOKUP(history[[#This Row],[商品ID]],stats[商品ID],stats[単価],"？"),"")</f>
        <v>60</v>
      </c>
    </row>
    <row r="332" spans="1:10">
      <c r="A332" s="6" t="s">
        <v>269</v>
      </c>
      <c r="B332" s="6" t="s">
        <v>429</v>
      </c>
      <c r="C332" s="6" t="s">
        <v>49</v>
      </c>
      <c r="D332" s="6">
        <v>4901313207734</v>
      </c>
      <c r="E332" s="6" t="s">
        <v>448</v>
      </c>
      <c r="F332" s="6">
        <v>-1</v>
      </c>
      <c r="G332" s="6">
        <v>11</v>
      </c>
      <c r="H332" s="9">
        <v>46356</v>
      </c>
      <c r="I332" s="8">
        <v>46223.774942129632</v>
      </c>
      <c r="J332" s="6">
        <f>IF(history[[#This Row],[在庫操作タイプ]]="注文",_xlfn.XLOOKUP(history[[#This Row],[商品ID]],stats[商品ID],stats[単価],"？"),"")</f>
        <v>62</v>
      </c>
    </row>
    <row r="333" spans="1:10">
      <c r="A333" s="6" t="s">
        <v>270</v>
      </c>
      <c r="B333" s="6" t="s">
        <v>439</v>
      </c>
      <c r="C333" s="6" t="s">
        <v>271</v>
      </c>
      <c r="D333" s="6">
        <v>4901940115822</v>
      </c>
      <c r="E333" s="6" t="s">
        <v>448</v>
      </c>
      <c r="F333" s="6">
        <v>-1</v>
      </c>
      <c r="G333" s="6">
        <v>4</v>
      </c>
      <c r="H333" s="9">
        <v>46363</v>
      </c>
      <c r="I333" s="8">
        <v>46223.776967592596</v>
      </c>
      <c r="J333" s="6">
        <f>IF(history[[#This Row],[在庫操作タイプ]]="注文",_xlfn.XLOOKUP(history[[#This Row],[商品ID]],stats[商品ID],stats[単価],"？"),"")</f>
        <v>113</v>
      </c>
    </row>
    <row r="334" spans="1:10">
      <c r="A334" s="6" t="s">
        <v>273</v>
      </c>
      <c r="B334" s="6" t="s">
        <v>439</v>
      </c>
      <c r="C334" s="6" t="s">
        <v>271</v>
      </c>
      <c r="D334" s="6">
        <v>4901940115822</v>
      </c>
      <c r="E334" s="6" t="s">
        <v>448</v>
      </c>
      <c r="F334" s="6">
        <v>-1</v>
      </c>
      <c r="G334" s="6">
        <v>5</v>
      </c>
      <c r="H334" s="9">
        <v>46363</v>
      </c>
      <c r="I334" s="8">
        <v>46223.776967592596</v>
      </c>
      <c r="J334" s="6">
        <f>IF(history[[#This Row],[在庫操作タイプ]]="注文",_xlfn.XLOOKUP(history[[#This Row],[商品ID]],stats[商品ID],stats[単価],"？"),"")</f>
        <v>113</v>
      </c>
    </row>
    <row r="335" spans="1:10">
      <c r="A335" s="6" t="s">
        <v>274</v>
      </c>
      <c r="B335" s="6" t="s">
        <v>433</v>
      </c>
      <c r="C335" s="6" t="s">
        <v>11</v>
      </c>
      <c r="D335" s="6">
        <v>49328714</v>
      </c>
      <c r="E335" s="6" t="s">
        <v>448</v>
      </c>
      <c r="F335" s="6">
        <v>-1</v>
      </c>
      <c r="G335" s="6">
        <v>10</v>
      </c>
      <c r="H335" s="9">
        <v>46292</v>
      </c>
      <c r="I335" s="8">
        <v>46223.815937500003</v>
      </c>
      <c r="J335" s="6">
        <f>IF(history[[#This Row],[在庫操作タイプ]]="注文",_xlfn.XLOOKUP(history[[#This Row],[商品ID]],stats[商品ID],stats[単価],"？"),"")</f>
        <v>41</v>
      </c>
    </row>
    <row r="336" spans="1:10">
      <c r="A336" s="6" t="s">
        <v>276</v>
      </c>
      <c r="B336" s="6" t="s">
        <v>436</v>
      </c>
      <c r="C336" s="6" t="s">
        <v>277</v>
      </c>
      <c r="D336" s="6">
        <v>4970055804112</v>
      </c>
      <c r="E336" s="6" t="s">
        <v>448</v>
      </c>
      <c r="F336" s="6">
        <v>-1</v>
      </c>
      <c r="G336" s="6">
        <v>7</v>
      </c>
      <c r="H336" s="9">
        <v>46331</v>
      </c>
      <c r="I336" s="8">
        <v>46223.816655092596</v>
      </c>
      <c r="J336" s="6">
        <f>IF(history[[#This Row],[在庫操作タイプ]]="注文",_xlfn.XLOOKUP(history[[#This Row],[商品ID]],stats[商品ID],stats[単価],"？"),"")</f>
        <v>123</v>
      </c>
    </row>
    <row r="337" spans="1:10">
      <c r="A337" s="6" t="s">
        <v>279</v>
      </c>
      <c r="B337" s="6" t="s">
        <v>437</v>
      </c>
      <c r="C337" s="6" t="s">
        <v>280</v>
      </c>
      <c r="D337" s="6">
        <v>4970055804099</v>
      </c>
      <c r="E337" s="6" t="s">
        <v>448</v>
      </c>
      <c r="F337" s="6">
        <v>-1</v>
      </c>
      <c r="G337" s="6">
        <v>7</v>
      </c>
      <c r="H337" s="9">
        <v>46321</v>
      </c>
      <c r="I337" s="8">
        <v>46223.816655092596</v>
      </c>
      <c r="J337" s="6">
        <f>IF(history[[#This Row],[在庫操作タイプ]]="注文",_xlfn.XLOOKUP(history[[#This Row],[商品ID]],stats[商品ID],stats[単価],"？"),"")</f>
        <v>123</v>
      </c>
    </row>
    <row r="338" spans="1:10">
      <c r="A338" s="6" t="s">
        <v>281</v>
      </c>
      <c r="B338" s="6" t="s">
        <v>436</v>
      </c>
      <c r="C338" s="6" t="s">
        <v>277</v>
      </c>
      <c r="D338" s="6">
        <v>4970055804112</v>
      </c>
      <c r="E338" s="6" t="s">
        <v>448</v>
      </c>
      <c r="F338" s="6">
        <v>-1</v>
      </c>
      <c r="G338" s="6">
        <v>6</v>
      </c>
      <c r="H338" s="9">
        <v>46331</v>
      </c>
      <c r="I338" s="8">
        <v>46224.419791666667</v>
      </c>
      <c r="J338" s="6">
        <f>IF(history[[#This Row],[在庫操作タイプ]]="注文",_xlfn.XLOOKUP(history[[#This Row],[商品ID]],stats[商品ID],stats[単価],"？"),"")</f>
        <v>123</v>
      </c>
    </row>
    <row r="339" spans="1:10">
      <c r="A339" s="6" t="s">
        <v>283</v>
      </c>
      <c r="B339" s="6" t="s">
        <v>430</v>
      </c>
      <c r="C339" s="6" t="s">
        <v>206</v>
      </c>
      <c r="D339" s="6">
        <v>4901360351466</v>
      </c>
      <c r="E339" s="6" t="s">
        <v>448</v>
      </c>
      <c r="F339" s="6">
        <v>-1</v>
      </c>
      <c r="G339" s="6">
        <v>3</v>
      </c>
      <c r="H339" s="9">
        <v>46477</v>
      </c>
      <c r="I339" s="8">
        <v>46224.529074074075</v>
      </c>
      <c r="J339" s="6">
        <f>IF(history[[#This Row],[在庫操作タイプ]]="注文",_xlfn.XLOOKUP(history[[#This Row],[商品ID]],stats[商品ID],stats[単価],"？"),"")</f>
        <v>82</v>
      </c>
    </row>
    <row r="340" spans="1:10">
      <c r="A340" s="6" t="s">
        <v>285</v>
      </c>
      <c r="B340" s="6" t="s">
        <v>432</v>
      </c>
      <c r="C340" s="6" t="s">
        <v>6</v>
      </c>
      <c r="D340" s="6">
        <v>4901588617511</v>
      </c>
      <c r="E340" s="6" t="s">
        <v>448</v>
      </c>
      <c r="F340" s="6">
        <v>-1</v>
      </c>
      <c r="G340" s="6">
        <v>5</v>
      </c>
      <c r="H340" s="9">
        <v>46499</v>
      </c>
      <c r="I340" s="8">
        <v>46224.586215277777</v>
      </c>
      <c r="J340" s="6">
        <f>IF(history[[#This Row],[在庫操作タイプ]]="注文",_xlfn.XLOOKUP(history[[#This Row],[商品ID]],stats[商品ID],stats[単価],"？"),"")</f>
        <v>51</v>
      </c>
    </row>
    <row r="341" spans="1:10">
      <c r="A341" s="6" t="s">
        <v>287</v>
      </c>
      <c r="B341" s="6" t="s">
        <v>432</v>
      </c>
      <c r="C341" s="6" t="s">
        <v>6</v>
      </c>
      <c r="D341" s="6">
        <v>4901588617511</v>
      </c>
      <c r="E341" s="6" t="s">
        <v>448</v>
      </c>
      <c r="F341" s="6">
        <v>-1</v>
      </c>
      <c r="G341" s="6">
        <v>4</v>
      </c>
      <c r="H341" s="9">
        <v>46499</v>
      </c>
      <c r="I341" s="8">
        <v>46224.629942129628</v>
      </c>
      <c r="J341" s="6">
        <f>IF(history[[#This Row],[在庫操作タイプ]]="注文",_xlfn.XLOOKUP(history[[#This Row],[商品ID]],stats[商品ID],stats[単価],"？"),"")</f>
        <v>51</v>
      </c>
    </row>
    <row r="342" spans="1:10">
      <c r="A342" s="6" t="s">
        <v>289</v>
      </c>
      <c r="B342" s="6" t="s">
        <v>431</v>
      </c>
      <c r="C342" s="6" t="s">
        <v>15</v>
      </c>
      <c r="D342" s="6">
        <v>4901360358397</v>
      </c>
      <c r="E342" s="6" t="s">
        <v>448</v>
      </c>
      <c r="F342" s="6">
        <v>-1</v>
      </c>
      <c r="G342" s="6">
        <v>5</v>
      </c>
      <c r="H342" s="9">
        <v>46538</v>
      </c>
      <c r="I342" s="8">
        <v>46224.65488425926</v>
      </c>
      <c r="J342" s="6">
        <f>IF(history[[#This Row],[在庫操作タイプ]]="注文",_xlfn.XLOOKUP(history[[#This Row],[商品ID]],stats[商品ID],stats[単価],"？"),"")</f>
        <v>82</v>
      </c>
    </row>
    <row r="343" spans="1:10">
      <c r="A343" s="6" t="s">
        <v>291</v>
      </c>
      <c r="B343" s="6" t="s">
        <v>438</v>
      </c>
      <c r="C343" s="6" t="s">
        <v>292</v>
      </c>
      <c r="D343" s="6">
        <v>4901360353057</v>
      </c>
      <c r="E343" s="6" t="s">
        <v>448</v>
      </c>
      <c r="F343" s="6">
        <v>-1</v>
      </c>
      <c r="G343" s="6">
        <v>8</v>
      </c>
      <c r="H343" s="9">
        <v>46388</v>
      </c>
      <c r="I343" s="8">
        <v>46224.680925925924</v>
      </c>
      <c r="J343" s="6">
        <f>IF(history[[#This Row],[在庫操作タイプ]]="注文",_xlfn.XLOOKUP(history[[#This Row],[商品ID]],stats[商品ID],stats[単価],"？"),"")</f>
        <v>123</v>
      </c>
    </row>
    <row r="344" spans="1:10">
      <c r="A344" s="6" t="s">
        <v>294</v>
      </c>
      <c r="B344" s="6" t="s">
        <v>427</v>
      </c>
      <c r="C344" s="6" t="s">
        <v>46</v>
      </c>
      <c r="D344" s="6">
        <v>4901984088281</v>
      </c>
      <c r="E344" s="6" t="s">
        <v>448</v>
      </c>
      <c r="F344" s="6">
        <v>-1</v>
      </c>
      <c r="G344" s="6">
        <v>6</v>
      </c>
      <c r="H344" s="6"/>
      <c r="I344" s="8">
        <v>46224.687071759261</v>
      </c>
      <c r="J344" s="6">
        <f>IF(history[[#This Row],[在庫操作タイプ]]="注文",_xlfn.XLOOKUP(history[[#This Row],[商品ID]],stats[商品ID],stats[単価],"？"),"")</f>
        <v>41</v>
      </c>
    </row>
    <row r="345" spans="1:10">
      <c r="A345" s="6" t="s">
        <v>296</v>
      </c>
      <c r="B345" s="6" t="s">
        <v>426</v>
      </c>
      <c r="C345" s="6" t="s">
        <v>13</v>
      </c>
      <c r="D345" s="6">
        <v>4901360358373</v>
      </c>
      <c r="E345" s="6" t="s">
        <v>448</v>
      </c>
      <c r="F345" s="6">
        <v>-1</v>
      </c>
      <c r="G345" s="6">
        <v>5</v>
      </c>
      <c r="H345" s="9">
        <v>46568</v>
      </c>
      <c r="I345" s="8">
        <v>46224.687071759261</v>
      </c>
      <c r="J345" s="6">
        <f>IF(history[[#This Row],[在庫操作タイプ]]="注文",_xlfn.XLOOKUP(history[[#This Row],[商品ID]],stats[商品ID],stats[単価],"？"),"")</f>
        <v>82</v>
      </c>
    </row>
    <row r="346" spans="1:10">
      <c r="A346" s="6" t="s">
        <v>297</v>
      </c>
      <c r="B346" s="6" t="s">
        <v>430</v>
      </c>
      <c r="C346" s="6" t="s">
        <v>206</v>
      </c>
      <c r="D346" s="6">
        <v>4901360351466</v>
      </c>
      <c r="E346" s="6" t="s">
        <v>448</v>
      </c>
      <c r="F346" s="6">
        <v>-1</v>
      </c>
      <c r="G346" s="6">
        <v>2</v>
      </c>
      <c r="H346" s="9">
        <v>46477</v>
      </c>
      <c r="I346" s="8">
        <v>46224.687118055554</v>
      </c>
      <c r="J346" s="6">
        <f>IF(history[[#This Row],[在庫操作タイプ]]="注文",_xlfn.XLOOKUP(history[[#This Row],[商品ID]],stats[商品ID],stats[単価],"？"),"")</f>
        <v>82</v>
      </c>
    </row>
    <row r="347" spans="1:10">
      <c r="A347" s="6" t="s">
        <v>299</v>
      </c>
      <c r="B347" s="6" t="s">
        <v>432</v>
      </c>
      <c r="C347" s="6" t="s">
        <v>6</v>
      </c>
      <c r="D347" s="6">
        <v>4901588617511</v>
      </c>
      <c r="E347" s="6" t="s">
        <v>448</v>
      </c>
      <c r="F347" s="6">
        <v>-1</v>
      </c>
      <c r="G347" s="6">
        <v>3</v>
      </c>
      <c r="H347" s="9">
        <v>46499</v>
      </c>
      <c r="I347" s="8">
        <v>46224.687118055554</v>
      </c>
      <c r="J347" s="6">
        <f>IF(history[[#This Row],[在庫操作タイプ]]="注文",_xlfn.XLOOKUP(history[[#This Row],[商品ID]],stats[商品ID],stats[単価],"？"),"")</f>
        <v>51</v>
      </c>
    </row>
    <row r="348" spans="1:10">
      <c r="A348" s="6" t="s">
        <v>300</v>
      </c>
      <c r="B348" s="6" t="s">
        <v>426</v>
      </c>
      <c r="C348" s="6" t="s">
        <v>13</v>
      </c>
      <c r="D348" s="6">
        <v>4901360358373</v>
      </c>
      <c r="E348" s="6" t="s">
        <v>448</v>
      </c>
      <c r="F348" s="6">
        <v>-1</v>
      </c>
      <c r="G348" s="6">
        <v>4</v>
      </c>
      <c r="H348" s="9">
        <v>46568</v>
      </c>
      <c r="I348" s="8">
        <v>46224.697523148148</v>
      </c>
      <c r="J348" s="6">
        <f>IF(history[[#This Row],[在庫操作タイプ]]="注文",_xlfn.XLOOKUP(history[[#This Row],[商品ID]],stats[商品ID],stats[単価],"？"),"")</f>
        <v>82</v>
      </c>
    </row>
    <row r="349" spans="1:10">
      <c r="A349" s="6" t="s">
        <v>302</v>
      </c>
      <c r="B349" s="6" t="s">
        <v>439</v>
      </c>
      <c r="C349" s="6" t="s">
        <v>271</v>
      </c>
      <c r="D349" s="6">
        <v>4901940115822</v>
      </c>
      <c r="E349" s="6" t="s">
        <v>448</v>
      </c>
      <c r="F349" s="6">
        <v>-1</v>
      </c>
      <c r="G349" s="6">
        <v>3</v>
      </c>
      <c r="H349" s="9">
        <v>46363</v>
      </c>
      <c r="I349" s="8">
        <v>46224.697523148148</v>
      </c>
      <c r="J349" s="6">
        <f>IF(history[[#This Row],[在庫操作タイプ]]="注文",_xlfn.XLOOKUP(history[[#This Row],[商品ID]],stats[商品ID],stats[単価],"？"),"")</f>
        <v>113</v>
      </c>
    </row>
    <row r="350" spans="1:10">
      <c r="A350" s="6" t="s">
        <v>303</v>
      </c>
      <c r="B350" s="6" t="s">
        <v>424</v>
      </c>
      <c r="C350" s="6" t="s">
        <v>18</v>
      </c>
      <c r="D350" s="6">
        <v>4977821321491</v>
      </c>
      <c r="E350" s="6" t="s">
        <v>448</v>
      </c>
      <c r="F350" s="6">
        <v>-1</v>
      </c>
      <c r="G350" s="6">
        <v>17</v>
      </c>
      <c r="H350" s="9">
        <v>46289</v>
      </c>
      <c r="I350" s="8">
        <v>46224.715300925927</v>
      </c>
      <c r="J350" s="6">
        <f>IF(history[[#This Row],[在庫操作タイプ]]="注文",_xlfn.XLOOKUP(history[[#This Row],[商品ID]],stats[商品ID],stats[単価],"？"),"")</f>
        <v>60</v>
      </c>
    </row>
    <row r="351" spans="1:10">
      <c r="A351" s="6" t="s">
        <v>305</v>
      </c>
      <c r="B351" s="6" t="s">
        <v>432</v>
      </c>
      <c r="C351" s="6" t="s">
        <v>6</v>
      </c>
      <c r="D351" s="6">
        <v>4901588617511</v>
      </c>
      <c r="E351" s="6" t="s">
        <v>448</v>
      </c>
      <c r="F351" s="6">
        <v>-1</v>
      </c>
      <c r="G351" s="6">
        <v>2</v>
      </c>
      <c r="H351" s="9">
        <v>46499</v>
      </c>
      <c r="I351" s="8">
        <v>46224.72861111111</v>
      </c>
      <c r="J351" s="6">
        <f>IF(history[[#This Row],[在庫操作タイプ]]="注文",_xlfn.XLOOKUP(history[[#This Row],[商品ID]],stats[商品ID],stats[単価],"？"),"")</f>
        <v>51</v>
      </c>
    </row>
    <row r="352" spans="1:10">
      <c r="A352" s="6" t="s">
        <v>307</v>
      </c>
      <c r="B352" s="6" t="s">
        <v>429</v>
      </c>
      <c r="C352" s="6" t="s">
        <v>49</v>
      </c>
      <c r="D352" s="6">
        <v>4901313207734</v>
      </c>
      <c r="E352" s="6" t="s">
        <v>448</v>
      </c>
      <c r="F352" s="6">
        <v>-1</v>
      </c>
      <c r="G352" s="6">
        <v>10</v>
      </c>
      <c r="H352" s="9">
        <v>46356</v>
      </c>
      <c r="I352" s="8">
        <v>46224.72861111111</v>
      </c>
      <c r="J352" s="6">
        <f>IF(history[[#This Row],[在庫操作タイプ]]="注文",_xlfn.XLOOKUP(history[[#This Row],[商品ID]],stats[商品ID],stats[単価],"？"),"")</f>
        <v>62</v>
      </c>
    </row>
    <row r="353" spans="1:10">
      <c r="A353" s="6" t="s">
        <v>308</v>
      </c>
      <c r="B353" s="6" t="s">
        <v>426</v>
      </c>
      <c r="C353" s="6" t="s">
        <v>13</v>
      </c>
      <c r="D353" s="6">
        <v>4901360358373</v>
      </c>
      <c r="E353" s="6" t="s">
        <v>448</v>
      </c>
      <c r="F353" s="6">
        <v>-1</v>
      </c>
      <c r="G353" s="6">
        <v>3</v>
      </c>
      <c r="H353" s="9">
        <v>46568</v>
      </c>
      <c r="I353" s="8">
        <v>46224.735046296293</v>
      </c>
      <c r="J353" s="6">
        <f>IF(history[[#This Row],[在庫操作タイプ]]="注文",_xlfn.XLOOKUP(history[[#This Row],[商品ID]],stats[商品ID],stats[単価],"？"),"")</f>
        <v>82</v>
      </c>
    </row>
    <row r="354" spans="1:10">
      <c r="A354" s="6" t="s">
        <v>310</v>
      </c>
      <c r="B354" s="6" t="s">
        <v>427</v>
      </c>
      <c r="C354" s="6" t="s">
        <v>46</v>
      </c>
      <c r="D354" s="6">
        <v>4901984088281</v>
      </c>
      <c r="E354" s="6" t="s">
        <v>448</v>
      </c>
      <c r="F354" s="6">
        <v>-1</v>
      </c>
      <c r="G354" s="6">
        <v>5</v>
      </c>
      <c r="H354" s="6"/>
      <c r="I354" s="8">
        <v>46224.735046296293</v>
      </c>
      <c r="J354" s="6">
        <f>IF(history[[#This Row],[在庫操作タイプ]]="注文",_xlfn.XLOOKUP(history[[#This Row],[商品ID]],stats[商品ID],stats[単価],"？"),"")</f>
        <v>41</v>
      </c>
    </row>
    <row r="355" spans="1:10">
      <c r="A355" s="6" t="s">
        <v>311</v>
      </c>
      <c r="B355" s="6" t="s">
        <v>431</v>
      </c>
      <c r="C355" s="6" t="s">
        <v>15</v>
      </c>
      <c r="D355" s="6">
        <v>4901360358397</v>
      </c>
      <c r="E355" s="6" t="s">
        <v>448</v>
      </c>
      <c r="F355" s="6">
        <v>-1</v>
      </c>
      <c r="G355" s="6">
        <v>4</v>
      </c>
      <c r="H355" s="9">
        <v>46538</v>
      </c>
      <c r="I355" s="8">
        <v>46224.77584490741</v>
      </c>
      <c r="J355" s="6">
        <f>IF(history[[#This Row],[在庫操作タイプ]]="注文",_xlfn.XLOOKUP(history[[#This Row],[商品ID]],stats[商品ID],stats[単価],"？"),"")</f>
        <v>82</v>
      </c>
    </row>
    <row r="356" spans="1:10">
      <c r="A356" s="6" t="s">
        <v>313</v>
      </c>
      <c r="B356" s="6" t="s">
        <v>426</v>
      </c>
      <c r="C356" s="6" t="s">
        <v>13</v>
      </c>
      <c r="D356" s="6">
        <v>4901360358373</v>
      </c>
      <c r="E356" s="6" t="s">
        <v>448</v>
      </c>
      <c r="F356" s="6">
        <v>-1</v>
      </c>
      <c r="G356" s="6">
        <v>2</v>
      </c>
      <c r="H356" s="9">
        <v>46568</v>
      </c>
      <c r="I356" s="8">
        <v>46224.867615740739</v>
      </c>
      <c r="J356" s="6">
        <f>IF(history[[#This Row],[在庫操作タイプ]]="注文",_xlfn.XLOOKUP(history[[#This Row],[商品ID]],stats[商品ID],stats[単価],"？"),"")</f>
        <v>82</v>
      </c>
    </row>
    <row r="357" spans="1:10">
      <c r="A357" s="6" t="s">
        <v>315</v>
      </c>
      <c r="B357" s="6" t="s">
        <v>432</v>
      </c>
      <c r="C357" s="6" t="s">
        <v>6</v>
      </c>
      <c r="D357" s="6">
        <v>4901588617511</v>
      </c>
      <c r="E357" s="6" t="s">
        <v>448</v>
      </c>
      <c r="F357" s="6">
        <v>-1</v>
      </c>
      <c r="G357" s="6">
        <v>1</v>
      </c>
      <c r="H357" s="9">
        <v>46499</v>
      </c>
      <c r="I357" s="8">
        <v>46224.867615740739</v>
      </c>
      <c r="J357" s="6">
        <f>IF(history[[#This Row],[在庫操作タイプ]]="注文",_xlfn.XLOOKUP(history[[#This Row],[商品ID]],stats[商品ID],stats[単価],"？"),"")</f>
        <v>51</v>
      </c>
    </row>
    <row r="358" spans="1:10">
      <c r="A358" s="6" t="s">
        <v>316</v>
      </c>
      <c r="B358" s="6" t="s">
        <v>440</v>
      </c>
      <c r="C358" s="6" t="s">
        <v>128</v>
      </c>
      <c r="D358" s="6">
        <v>45075476</v>
      </c>
      <c r="E358" s="6" t="s">
        <v>448</v>
      </c>
      <c r="F358" s="6">
        <v>-1</v>
      </c>
      <c r="G358" s="6">
        <v>17</v>
      </c>
      <c r="H358" s="6"/>
      <c r="I358" s="8">
        <v>46225.37841435185</v>
      </c>
      <c r="J358" s="6">
        <f>IF(history[[#This Row],[在庫操作タイプ]]="注文",_xlfn.XLOOKUP(history[[#This Row],[商品ID]],stats[商品ID],stats[単価],"？"),"")</f>
        <v>185</v>
      </c>
    </row>
    <row r="359" spans="1:10">
      <c r="A359" s="6" t="s">
        <v>318</v>
      </c>
      <c r="B359" s="6" t="s">
        <v>423</v>
      </c>
      <c r="C359" s="6" t="s">
        <v>96</v>
      </c>
      <c r="D359" s="6">
        <v>4987240618607</v>
      </c>
      <c r="E359" s="6" t="s">
        <v>448</v>
      </c>
      <c r="F359" s="6">
        <v>-1</v>
      </c>
      <c r="G359" s="6">
        <v>1</v>
      </c>
      <c r="H359" s="9">
        <v>46691</v>
      </c>
      <c r="I359" s="8">
        <v>46225.37841435185</v>
      </c>
      <c r="J359" s="6">
        <f>IF(history[[#This Row],[在庫操作タイプ]]="注文",_xlfn.XLOOKUP(history[[#This Row],[商品ID]],stats[商品ID],stats[単価],"？"),"")</f>
        <v>288</v>
      </c>
    </row>
    <row r="360" spans="1:10">
      <c r="A360" s="6" t="s">
        <v>319</v>
      </c>
      <c r="B360" s="6" t="s">
        <v>428</v>
      </c>
      <c r="C360" s="6" t="s">
        <v>35</v>
      </c>
      <c r="D360" s="6">
        <v>4902888232374</v>
      </c>
      <c r="E360" s="6" t="s">
        <v>448</v>
      </c>
      <c r="F360" s="6">
        <v>-1</v>
      </c>
      <c r="G360" s="6">
        <v>11</v>
      </c>
      <c r="H360" s="9">
        <v>46142</v>
      </c>
      <c r="I360" s="8">
        <v>46225.406793981485</v>
      </c>
      <c r="J360" s="6">
        <f>IF(history[[#This Row],[在庫操作タイプ]]="注文",_xlfn.XLOOKUP(history[[#This Row],[商品ID]],stats[商品ID],stats[単価],"？"),"")</f>
        <v>134</v>
      </c>
    </row>
    <row r="361" spans="1:10">
      <c r="A361" s="6" t="s">
        <v>321</v>
      </c>
      <c r="B361" s="6" t="s">
        <v>424</v>
      </c>
      <c r="C361" s="6" t="s">
        <v>18</v>
      </c>
      <c r="D361" s="6">
        <v>4977821321491</v>
      </c>
      <c r="E361" s="6" t="s">
        <v>448</v>
      </c>
      <c r="F361" s="6">
        <v>-2</v>
      </c>
      <c r="G361" s="6">
        <v>15</v>
      </c>
      <c r="H361" s="9">
        <v>46289</v>
      </c>
      <c r="I361" s="8">
        <v>46225.416331018518</v>
      </c>
      <c r="J361" s="6">
        <f>IF(history[[#This Row],[在庫操作タイプ]]="注文",_xlfn.XLOOKUP(history[[#This Row],[商品ID]],stats[商品ID],stats[単価],"？"),"")</f>
        <v>60</v>
      </c>
    </row>
    <row r="362" spans="1:10">
      <c r="A362" s="6" t="s">
        <v>323</v>
      </c>
      <c r="B362" s="6" t="s">
        <v>424</v>
      </c>
      <c r="C362" s="6" t="s">
        <v>18</v>
      </c>
      <c r="D362" s="6">
        <v>4977821321491</v>
      </c>
      <c r="E362" s="6" t="s">
        <v>448</v>
      </c>
      <c r="F362" s="6">
        <v>-1</v>
      </c>
      <c r="G362" s="6">
        <v>14</v>
      </c>
      <c r="H362" s="9">
        <v>46289</v>
      </c>
      <c r="I362" s="8">
        <v>46225.417372685188</v>
      </c>
      <c r="J362" s="6">
        <f>IF(history[[#This Row],[在庫操作タイプ]]="注文",_xlfn.XLOOKUP(history[[#This Row],[商品ID]],stats[商品ID],stats[単価],"？"),"")</f>
        <v>60</v>
      </c>
    </row>
    <row r="363" spans="1:10">
      <c r="A363" s="6" t="s">
        <v>325</v>
      </c>
      <c r="B363" s="6" t="s">
        <v>423</v>
      </c>
      <c r="C363" s="6" t="s">
        <v>96</v>
      </c>
      <c r="D363" s="6">
        <v>4987240618607</v>
      </c>
      <c r="E363" s="6" t="s">
        <v>448</v>
      </c>
      <c r="F363" s="6">
        <v>-1</v>
      </c>
      <c r="G363" s="6">
        <v>0</v>
      </c>
      <c r="H363" s="9">
        <v>46691</v>
      </c>
      <c r="I363" s="8">
        <v>46225.43645833333</v>
      </c>
      <c r="J363" s="6">
        <f>IF(history[[#This Row],[在庫操作タイプ]]="注文",_xlfn.XLOOKUP(history[[#This Row],[商品ID]],stats[商品ID],stats[単価],"？"),"")</f>
        <v>288</v>
      </c>
    </row>
    <row r="364" spans="1:10">
      <c r="A364" s="6" t="s">
        <v>327</v>
      </c>
      <c r="B364" s="6" t="s">
        <v>432</v>
      </c>
      <c r="C364" s="6" t="s">
        <v>6</v>
      </c>
      <c r="D364" s="6">
        <v>4901588617511</v>
      </c>
      <c r="E364" s="6" t="s">
        <v>448</v>
      </c>
      <c r="F364" s="6">
        <v>-1</v>
      </c>
      <c r="G364" s="6">
        <v>0</v>
      </c>
      <c r="H364" s="9">
        <v>46499</v>
      </c>
      <c r="I364" s="8">
        <v>46225.445833333331</v>
      </c>
      <c r="J364" s="6">
        <f>IF(history[[#This Row],[在庫操作タイプ]]="注文",_xlfn.XLOOKUP(history[[#This Row],[商品ID]],stats[商品ID],stats[単価],"？"),"")</f>
        <v>51</v>
      </c>
    </row>
    <row r="365" spans="1:10">
      <c r="A365" s="6" t="s">
        <v>329</v>
      </c>
      <c r="B365" s="6" t="s">
        <v>435</v>
      </c>
      <c r="C365" s="6" t="s">
        <v>330</v>
      </c>
      <c r="D365" s="6">
        <v>4901940117468</v>
      </c>
      <c r="E365" s="6" t="s">
        <v>448</v>
      </c>
      <c r="F365" s="6">
        <v>-1</v>
      </c>
      <c r="G365" s="6">
        <v>5</v>
      </c>
      <c r="H365" s="9">
        <v>46347</v>
      </c>
      <c r="I365" s="8">
        <v>46225.465115740742</v>
      </c>
      <c r="J365" s="6">
        <f>IF(history[[#This Row],[在庫操作タイプ]]="注文",_xlfn.XLOOKUP(history[[#This Row],[商品ID]],stats[商品ID],stats[単価],"？"),"")</f>
        <v>113</v>
      </c>
    </row>
    <row r="366" spans="1:10">
      <c r="A366" s="6" t="s">
        <v>332</v>
      </c>
      <c r="B366" s="6" t="s">
        <v>426</v>
      </c>
      <c r="C366" s="6" t="s">
        <v>13</v>
      </c>
      <c r="D366" s="6">
        <v>4901360358373</v>
      </c>
      <c r="E366" s="6" t="s">
        <v>448</v>
      </c>
      <c r="F366" s="6">
        <v>-1</v>
      </c>
      <c r="G366" s="6">
        <v>1</v>
      </c>
      <c r="H366" s="9">
        <v>46568</v>
      </c>
      <c r="I366" s="8">
        <v>46225.465115740742</v>
      </c>
      <c r="J366" s="6">
        <f>IF(history[[#This Row],[在庫操作タイプ]]="注文",_xlfn.XLOOKUP(history[[#This Row],[商品ID]],stats[商品ID],stats[単価],"？"),"")</f>
        <v>82</v>
      </c>
    </row>
    <row r="367" spans="1:10">
      <c r="A367" s="6" t="s">
        <v>333</v>
      </c>
      <c r="B367" s="6" t="s">
        <v>428</v>
      </c>
      <c r="C367" s="6" t="s">
        <v>35</v>
      </c>
      <c r="D367" s="6">
        <v>4902888232374</v>
      </c>
      <c r="E367" s="6" t="s">
        <v>448</v>
      </c>
      <c r="F367" s="6">
        <v>-1</v>
      </c>
      <c r="G367" s="6">
        <v>10</v>
      </c>
      <c r="H367" s="9">
        <v>46142</v>
      </c>
      <c r="I367" s="8">
        <v>46225.491273148145</v>
      </c>
      <c r="J367" s="6">
        <f>IF(history[[#This Row],[在庫操作タイプ]]="注文",_xlfn.XLOOKUP(history[[#This Row],[商品ID]],stats[商品ID],stats[単価],"？"),"")</f>
        <v>134</v>
      </c>
    </row>
    <row r="368" spans="1:10">
      <c r="A368" s="6" t="s">
        <v>335</v>
      </c>
      <c r="B368" s="6" t="s">
        <v>424</v>
      </c>
      <c r="C368" s="6" t="s">
        <v>18</v>
      </c>
      <c r="D368" s="6">
        <v>4977821321491</v>
      </c>
      <c r="E368" s="6" t="s">
        <v>448</v>
      </c>
      <c r="F368" s="6">
        <v>-1</v>
      </c>
      <c r="G368" s="6">
        <v>13</v>
      </c>
      <c r="H368" s="9">
        <v>46289</v>
      </c>
      <c r="I368" s="8">
        <v>46225.515034722222</v>
      </c>
      <c r="J368" s="6">
        <f>IF(history[[#This Row],[在庫操作タイプ]]="注文",_xlfn.XLOOKUP(history[[#This Row],[商品ID]],stats[商品ID],stats[単価],"？"),"")</f>
        <v>60</v>
      </c>
    </row>
    <row r="369" spans="1:10">
      <c r="A369" s="6" t="s">
        <v>337</v>
      </c>
      <c r="B369" s="6" t="s">
        <v>426</v>
      </c>
      <c r="C369" s="6" t="s">
        <v>13</v>
      </c>
      <c r="D369" s="6">
        <v>4901360358373</v>
      </c>
      <c r="E369" s="6" t="s">
        <v>448</v>
      </c>
      <c r="F369" s="6">
        <v>-1</v>
      </c>
      <c r="G369" s="6">
        <v>0</v>
      </c>
      <c r="H369" s="9">
        <v>46568</v>
      </c>
      <c r="I369" s="8">
        <v>46225.51662037037</v>
      </c>
      <c r="J369" s="6">
        <f>IF(history[[#This Row],[在庫操作タイプ]]="注文",_xlfn.XLOOKUP(history[[#This Row],[商品ID]],stats[商品ID],stats[単価],"？"),"")</f>
        <v>82</v>
      </c>
    </row>
    <row r="370" spans="1:10">
      <c r="A370" s="6" t="s">
        <v>339</v>
      </c>
      <c r="B370" s="6" t="s">
        <v>437</v>
      </c>
      <c r="C370" s="6" t="s">
        <v>280</v>
      </c>
      <c r="D370" s="6">
        <v>4970055804099</v>
      </c>
      <c r="E370" s="6" t="s">
        <v>448</v>
      </c>
      <c r="F370" s="6">
        <v>-1</v>
      </c>
      <c r="G370" s="6">
        <v>6</v>
      </c>
      <c r="H370" s="9">
        <v>46321</v>
      </c>
      <c r="I370" s="8">
        <v>46225.683888888889</v>
      </c>
      <c r="J370" s="6">
        <f>IF(history[[#This Row],[在庫操作タイプ]]="注文",_xlfn.XLOOKUP(history[[#This Row],[商品ID]],stats[商品ID],stats[単価],"？"),"")</f>
        <v>123</v>
      </c>
    </row>
    <row r="371" spans="1:10">
      <c r="A371" s="6" t="s">
        <v>341</v>
      </c>
      <c r="B371" s="6" t="s">
        <v>439</v>
      </c>
      <c r="C371" s="6" t="s">
        <v>271</v>
      </c>
      <c r="D371" s="6">
        <v>4901940115822</v>
      </c>
      <c r="E371" s="6" t="s">
        <v>448</v>
      </c>
      <c r="F371" s="6">
        <v>-1</v>
      </c>
      <c r="G371" s="6">
        <v>2</v>
      </c>
      <c r="H371" s="9">
        <v>46363</v>
      </c>
      <c r="I371" s="8">
        <v>46225.68414351852</v>
      </c>
      <c r="J371" s="6">
        <f>IF(history[[#This Row],[在庫操作タイプ]]="注文",_xlfn.XLOOKUP(history[[#This Row],[商品ID]],stats[商品ID],stats[単価],"？"),"")</f>
        <v>113</v>
      </c>
    </row>
    <row r="372" spans="1:10">
      <c r="A372" s="6" t="s">
        <v>343</v>
      </c>
      <c r="B372" s="6" t="s">
        <v>432</v>
      </c>
      <c r="C372" s="6" t="s">
        <v>6</v>
      </c>
      <c r="D372" s="6">
        <v>4901588617511</v>
      </c>
      <c r="E372" s="6" t="s">
        <v>448</v>
      </c>
      <c r="F372" s="6">
        <v>-1</v>
      </c>
      <c r="G372" s="6">
        <v>-1</v>
      </c>
      <c r="H372" s="9">
        <v>46499</v>
      </c>
      <c r="I372" s="8">
        <v>46225.688969907409</v>
      </c>
      <c r="J372" s="6">
        <f>IF(history[[#This Row],[在庫操作タイプ]]="注文",_xlfn.XLOOKUP(history[[#This Row],[商品ID]],stats[商品ID],stats[単価],"？"),"")</f>
        <v>51</v>
      </c>
    </row>
    <row r="373" spans="1:10">
      <c r="A373" s="6" t="s">
        <v>345</v>
      </c>
      <c r="B373" s="6" t="s">
        <v>424</v>
      </c>
      <c r="C373" s="6" t="s">
        <v>18</v>
      </c>
      <c r="D373" s="6">
        <v>4977821321491</v>
      </c>
      <c r="E373" s="6" t="s">
        <v>448</v>
      </c>
      <c r="F373" s="6">
        <v>-1</v>
      </c>
      <c r="G373" s="6">
        <v>12</v>
      </c>
      <c r="H373" s="9">
        <v>46289</v>
      </c>
      <c r="I373" s="8">
        <v>46225.720625000002</v>
      </c>
      <c r="J373" s="6">
        <f>IF(history[[#This Row],[在庫操作タイプ]]="注文",_xlfn.XLOOKUP(history[[#This Row],[商品ID]],stats[商品ID],stats[単価],"？"),"")</f>
        <v>60</v>
      </c>
    </row>
    <row r="374" spans="1:10">
      <c r="A374" s="6" t="s">
        <v>347</v>
      </c>
      <c r="B374" s="6" t="s">
        <v>439</v>
      </c>
      <c r="C374" s="6" t="s">
        <v>271</v>
      </c>
      <c r="D374" s="6">
        <v>4901940115822</v>
      </c>
      <c r="E374" s="6" t="s">
        <v>448</v>
      </c>
      <c r="F374" s="6">
        <v>-1</v>
      </c>
      <c r="G374" s="6">
        <v>1</v>
      </c>
      <c r="H374" s="9">
        <v>46363</v>
      </c>
      <c r="I374" s="8">
        <v>46225.740266203706</v>
      </c>
      <c r="J374" s="6">
        <f>IF(history[[#This Row],[在庫操作タイプ]]="注文",_xlfn.XLOOKUP(history[[#This Row],[商品ID]],stats[商品ID],stats[単価],"？"),"")</f>
        <v>113</v>
      </c>
    </row>
    <row r="375" spans="1:10">
      <c r="A375" s="6" t="s">
        <v>349</v>
      </c>
      <c r="B375" s="6" t="s">
        <v>431</v>
      </c>
      <c r="C375" s="6" t="s">
        <v>15</v>
      </c>
      <c r="D375" s="6">
        <v>4901360358397</v>
      </c>
      <c r="E375" s="6" t="s">
        <v>448</v>
      </c>
      <c r="F375" s="6">
        <v>-1</v>
      </c>
      <c r="G375" s="6">
        <v>3</v>
      </c>
      <c r="H375" s="9">
        <v>46538</v>
      </c>
      <c r="I375" s="8">
        <v>46225.740266203706</v>
      </c>
      <c r="J375" s="6">
        <f>IF(history[[#This Row],[在庫操作タイプ]]="注文",_xlfn.XLOOKUP(history[[#This Row],[商品ID]],stats[商品ID],stats[単価],"？"),"")</f>
        <v>82</v>
      </c>
    </row>
    <row r="376" spans="1:10">
      <c r="A376" s="6" t="s">
        <v>350</v>
      </c>
      <c r="B376" s="6" t="s">
        <v>428</v>
      </c>
      <c r="C376" s="6" t="s">
        <v>35</v>
      </c>
      <c r="D376" s="6">
        <v>4902888232374</v>
      </c>
      <c r="E376" s="6" t="s">
        <v>448</v>
      </c>
      <c r="F376" s="6">
        <v>-1</v>
      </c>
      <c r="G376" s="6">
        <v>9</v>
      </c>
      <c r="H376" s="9">
        <v>46142</v>
      </c>
      <c r="I376" s="8">
        <v>46225.753668981481</v>
      </c>
      <c r="J376" s="6">
        <f>IF(history[[#This Row],[在庫操作タイプ]]="注文",_xlfn.XLOOKUP(history[[#This Row],[商品ID]],stats[商品ID],stats[単価],"？"),"")</f>
        <v>134</v>
      </c>
    </row>
    <row r="377" spans="1:10">
      <c r="A377" s="6" t="s">
        <v>352</v>
      </c>
      <c r="B377" s="6" t="s">
        <v>427</v>
      </c>
      <c r="C377" s="6" t="s">
        <v>46</v>
      </c>
      <c r="D377" s="6">
        <v>4901984088281</v>
      </c>
      <c r="E377" s="6" t="s">
        <v>448</v>
      </c>
      <c r="F377" s="6">
        <v>-1</v>
      </c>
      <c r="G377" s="6">
        <v>4</v>
      </c>
      <c r="H377" s="6"/>
      <c r="I377" s="8">
        <v>46225.753668981481</v>
      </c>
      <c r="J377" s="6">
        <f>IF(history[[#This Row],[在庫操作タイプ]]="注文",_xlfn.XLOOKUP(history[[#This Row],[商品ID]],stats[商品ID],stats[単価],"？"),"")</f>
        <v>41</v>
      </c>
    </row>
    <row r="378" spans="1:10">
      <c r="A378" s="6" t="s">
        <v>353</v>
      </c>
      <c r="B378" s="6" t="s">
        <v>435</v>
      </c>
      <c r="C378" s="6" t="s">
        <v>330</v>
      </c>
      <c r="D378" s="6">
        <v>4901940117468</v>
      </c>
      <c r="E378" s="6" t="s">
        <v>448</v>
      </c>
      <c r="F378" s="6">
        <v>-1</v>
      </c>
      <c r="G378" s="6">
        <v>4</v>
      </c>
      <c r="H378" s="9">
        <v>46347</v>
      </c>
      <c r="I378" s="8">
        <v>46225.76425925926</v>
      </c>
      <c r="J378" s="6">
        <f>IF(history[[#This Row],[在庫操作タイプ]]="注文",_xlfn.XLOOKUP(history[[#This Row],[商品ID]],stats[商品ID],stats[単価],"？"),"")</f>
        <v>113</v>
      </c>
    </row>
    <row r="379" spans="1:10">
      <c r="A379" s="6" t="s">
        <v>355</v>
      </c>
      <c r="B379" s="6" t="s">
        <v>437</v>
      </c>
      <c r="C379" s="6" t="s">
        <v>280</v>
      </c>
      <c r="D379" s="6">
        <v>4970055804099</v>
      </c>
      <c r="E379" s="6" t="s">
        <v>448</v>
      </c>
      <c r="F379" s="6">
        <v>-1</v>
      </c>
      <c r="G379" s="6">
        <v>5</v>
      </c>
      <c r="H379" s="9">
        <v>46321</v>
      </c>
      <c r="I379" s="8">
        <v>46225.804212962961</v>
      </c>
      <c r="J379" s="6">
        <f>IF(history[[#This Row],[在庫操作タイプ]]="注文",_xlfn.XLOOKUP(history[[#This Row],[商品ID]],stats[商品ID],stats[単価],"？"),"")</f>
        <v>123</v>
      </c>
    </row>
    <row r="380" spans="1:10">
      <c r="A380" s="6" t="s">
        <v>357</v>
      </c>
      <c r="B380" s="6" t="s">
        <v>436</v>
      </c>
      <c r="C380" s="6" t="s">
        <v>277</v>
      </c>
      <c r="D380" s="6">
        <v>4970055804112</v>
      </c>
      <c r="E380" s="6" t="s">
        <v>448</v>
      </c>
      <c r="F380" s="6">
        <v>-1</v>
      </c>
      <c r="G380" s="6">
        <v>5</v>
      </c>
      <c r="H380" s="9">
        <v>46331</v>
      </c>
      <c r="I380" s="8">
        <v>46225.811215277776</v>
      </c>
      <c r="J380" s="6">
        <f>IF(history[[#This Row],[在庫操作タイプ]]="注文",_xlfn.XLOOKUP(history[[#This Row],[商品ID]],stats[商品ID],stats[単価],"？"),"")</f>
        <v>123</v>
      </c>
    </row>
    <row r="381" spans="1:10">
      <c r="A381" s="6" t="s">
        <v>359</v>
      </c>
      <c r="B381" s="6" t="s">
        <v>438</v>
      </c>
      <c r="C381" s="6" t="s">
        <v>292</v>
      </c>
      <c r="D381" s="6">
        <v>4901360353057</v>
      </c>
      <c r="E381" s="6" t="s">
        <v>448</v>
      </c>
      <c r="F381" s="6">
        <v>-1</v>
      </c>
      <c r="G381" s="6">
        <v>7</v>
      </c>
      <c r="H381" s="9">
        <v>46388</v>
      </c>
      <c r="I381" s="8">
        <v>46226.341168981482</v>
      </c>
      <c r="J381" s="6">
        <f>IF(history[[#This Row],[在庫操作タイプ]]="注文",_xlfn.XLOOKUP(history[[#This Row],[商品ID]],stats[商品ID],stats[単価],"？"),"")</f>
        <v>123</v>
      </c>
    </row>
    <row r="382" spans="1:10">
      <c r="A382" s="6" t="s">
        <v>361</v>
      </c>
      <c r="B382" s="6" t="s">
        <v>428</v>
      </c>
      <c r="C382" s="6" t="s">
        <v>35</v>
      </c>
      <c r="D382" s="6">
        <v>4902888232374</v>
      </c>
      <c r="E382" s="6" t="s">
        <v>448</v>
      </c>
      <c r="F382" s="6">
        <v>-1</v>
      </c>
      <c r="G382" s="6">
        <v>8</v>
      </c>
      <c r="H382" s="9">
        <v>46142</v>
      </c>
      <c r="I382" s="8">
        <v>46226.425844907404</v>
      </c>
      <c r="J382" s="6">
        <f>IF(history[[#This Row],[在庫操作タイプ]]="注文",_xlfn.XLOOKUP(history[[#This Row],[商品ID]],stats[商品ID],stats[単価],"？"),"")</f>
        <v>134</v>
      </c>
    </row>
    <row r="383" spans="1:10">
      <c r="A383" s="6" t="s">
        <v>460</v>
      </c>
      <c r="B383" s="6" t="s">
        <v>425</v>
      </c>
      <c r="C383" s="6" t="s">
        <v>32</v>
      </c>
      <c r="D383" s="6">
        <v>4901330578909</v>
      </c>
      <c r="E383" s="6" t="s">
        <v>461</v>
      </c>
      <c r="F383" s="6">
        <v>0</v>
      </c>
      <c r="G383" s="6">
        <v>7</v>
      </c>
      <c r="H383" s="9">
        <v>46184</v>
      </c>
      <c r="I383" s="8">
        <v>46226.427048611113</v>
      </c>
      <c r="J383" s="6" t="str">
        <f>IF(history[[#This Row],[在庫操作タイプ]]="注文",_xlfn.XLOOKUP(history[[#This Row],[商品ID]],stats[商品ID],stats[単価],"？"),"")</f>
        <v/>
      </c>
    </row>
    <row r="384" spans="1:10">
      <c r="A384" s="6" t="s">
        <v>462</v>
      </c>
      <c r="B384" s="6" t="s">
        <v>441</v>
      </c>
      <c r="C384" s="6" t="s">
        <v>415</v>
      </c>
      <c r="D384" s="6">
        <v>49698633</v>
      </c>
      <c r="E384" s="6" t="s">
        <v>461</v>
      </c>
      <c r="F384" s="6">
        <v>0</v>
      </c>
      <c r="G384" s="6">
        <v>1</v>
      </c>
      <c r="H384" s="6"/>
      <c r="I384" s="8">
        <v>46226.427048611113</v>
      </c>
      <c r="J384" s="6" t="str">
        <f>IF(history[[#This Row],[在庫操作タイプ]]="注文",_xlfn.XLOOKUP(history[[#This Row],[商品ID]],stats[商品ID],stats[単価],"？"),"")</f>
        <v/>
      </c>
    </row>
    <row r="385" spans="1:10">
      <c r="A385" s="6" t="s">
        <v>463</v>
      </c>
      <c r="B385" s="6" t="s">
        <v>430</v>
      </c>
      <c r="C385" s="6" t="s">
        <v>206</v>
      </c>
      <c r="D385" s="6">
        <v>4901360351466</v>
      </c>
      <c r="E385" s="6" t="s">
        <v>461</v>
      </c>
      <c r="F385" s="6">
        <v>0</v>
      </c>
      <c r="G385" s="6">
        <v>2</v>
      </c>
      <c r="H385" s="9">
        <v>46477</v>
      </c>
      <c r="I385" s="8">
        <v>46226.427048611113</v>
      </c>
      <c r="J385" s="6" t="str">
        <f>IF(history[[#This Row],[在庫操作タイプ]]="注文",_xlfn.XLOOKUP(history[[#This Row],[商品ID]],stats[商品ID],stats[単価],"？"),"")</f>
        <v/>
      </c>
    </row>
    <row r="386" spans="1:10">
      <c r="A386" s="6" t="s">
        <v>464</v>
      </c>
      <c r="B386" s="6" t="s">
        <v>436</v>
      </c>
      <c r="C386" s="6" t="s">
        <v>277</v>
      </c>
      <c r="D386" s="6">
        <v>4970055804112</v>
      </c>
      <c r="E386" s="6" t="s">
        <v>461</v>
      </c>
      <c r="F386" s="6">
        <v>0</v>
      </c>
      <c r="G386" s="6">
        <v>5</v>
      </c>
      <c r="H386" s="9">
        <v>46331</v>
      </c>
      <c r="I386" s="8">
        <v>46226.427048611113</v>
      </c>
      <c r="J386" s="6" t="str">
        <f>IF(history[[#This Row],[在庫操作タイプ]]="注文",_xlfn.XLOOKUP(history[[#This Row],[商品ID]],stats[商品ID],stats[単価],"？"),"")</f>
        <v/>
      </c>
    </row>
    <row r="387" spans="1:10">
      <c r="A387" s="6" t="s">
        <v>465</v>
      </c>
      <c r="B387" s="6" t="s">
        <v>435</v>
      </c>
      <c r="C387" s="6" t="s">
        <v>330</v>
      </c>
      <c r="D387" s="6">
        <v>4901940117468</v>
      </c>
      <c r="E387" s="6" t="s">
        <v>461</v>
      </c>
      <c r="F387" s="6">
        <v>0</v>
      </c>
      <c r="G387" s="6">
        <v>4</v>
      </c>
      <c r="H387" s="9">
        <v>46347</v>
      </c>
      <c r="I387" s="8">
        <v>46226.427048611113</v>
      </c>
      <c r="J387" s="6" t="str">
        <f>IF(history[[#This Row],[在庫操作タイプ]]="注文",_xlfn.XLOOKUP(history[[#This Row],[商品ID]],stats[商品ID],stats[単価],"？"),"")</f>
        <v/>
      </c>
    </row>
    <row r="388" spans="1:10">
      <c r="A388" s="6" t="s">
        <v>466</v>
      </c>
      <c r="B388" s="6" t="s">
        <v>467</v>
      </c>
      <c r="C388" s="6" t="s">
        <v>93</v>
      </c>
      <c r="D388" s="6">
        <v>4987035555919</v>
      </c>
      <c r="E388" s="6" t="s">
        <v>461</v>
      </c>
      <c r="F388" s="6">
        <v>0</v>
      </c>
      <c r="G388" s="6">
        <v>2</v>
      </c>
      <c r="H388" s="9">
        <v>46446</v>
      </c>
      <c r="I388" s="8">
        <v>46226.427048611113</v>
      </c>
      <c r="J388" s="6" t="str">
        <f>IF(history[[#This Row],[在庫操作タイプ]]="注文",_xlfn.XLOOKUP(history[[#This Row],[商品ID]],stats[商品ID],stats[単価],"？"),"")</f>
        <v/>
      </c>
    </row>
    <row r="389" spans="1:10">
      <c r="A389" s="6" t="s">
        <v>468</v>
      </c>
      <c r="B389" s="6" t="s">
        <v>439</v>
      </c>
      <c r="C389" s="6" t="s">
        <v>271</v>
      </c>
      <c r="D389" s="6">
        <v>4901940115822</v>
      </c>
      <c r="E389" s="6" t="s">
        <v>461</v>
      </c>
      <c r="F389" s="6">
        <v>6</v>
      </c>
      <c r="G389" s="6">
        <v>7</v>
      </c>
      <c r="H389" s="9">
        <v>46363</v>
      </c>
      <c r="I389" s="8">
        <v>46226.427048611113</v>
      </c>
      <c r="J389" s="6" t="str">
        <f>IF(history[[#This Row],[在庫操作タイプ]]="注文",_xlfn.XLOOKUP(history[[#This Row],[商品ID]],stats[商品ID],stats[単価],"？"),"")</f>
        <v/>
      </c>
    </row>
    <row r="390" spans="1:10">
      <c r="A390" s="6" t="s">
        <v>469</v>
      </c>
      <c r="B390" s="6" t="s">
        <v>470</v>
      </c>
      <c r="C390" s="6" t="s">
        <v>62</v>
      </c>
      <c r="D390" s="6">
        <v>49698626</v>
      </c>
      <c r="E390" s="6" t="s">
        <v>461</v>
      </c>
      <c r="F390" s="6">
        <v>0</v>
      </c>
      <c r="G390" s="6">
        <v>1</v>
      </c>
      <c r="H390" s="9">
        <v>46334</v>
      </c>
      <c r="I390" s="8">
        <v>46226.427048611113</v>
      </c>
      <c r="J390" s="6" t="str">
        <f>IF(history[[#This Row],[在庫操作タイプ]]="注文",_xlfn.XLOOKUP(history[[#This Row],[商品ID]],stats[商品ID],stats[単価],"？"),"")</f>
        <v/>
      </c>
    </row>
    <row r="391" spans="1:10">
      <c r="A391" s="6" t="s">
        <v>471</v>
      </c>
      <c r="B391" s="6" t="s">
        <v>472</v>
      </c>
      <c r="C391" s="6" t="s">
        <v>473</v>
      </c>
      <c r="D391" s="6">
        <v>4987035684411</v>
      </c>
      <c r="E391" s="6" t="s">
        <v>461</v>
      </c>
      <c r="F391" s="6">
        <v>0</v>
      </c>
      <c r="G391" s="6">
        <v>3</v>
      </c>
      <c r="H391" s="9">
        <v>46477</v>
      </c>
      <c r="I391" s="8">
        <v>46226.427048611113</v>
      </c>
      <c r="J391" s="6" t="str">
        <f>IF(history[[#This Row],[在庫操作タイプ]]="注文",_xlfn.XLOOKUP(history[[#This Row],[商品ID]],stats[商品ID],stats[単価],"？"),"")</f>
        <v/>
      </c>
    </row>
    <row r="392" spans="1:10">
      <c r="A392" s="6" t="s">
        <v>474</v>
      </c>
      <c r="B392" s="6" t="s">
        <v>475</v>
      </c>
      <c r="C392" s="6" t="s">
        <v>476</v>
      </c>
      <c r="D392" s="6">
        <v>4901071268374</v>
      </c>
      <c r="E392" s="6" t="s">
        <v>461</v>
      </c>
      <c r="F392" s="6">
        <v>0</v>
      </c>
      <c r="G392" s="6">
        <v>1</v>
      </c>
      <c r="H392" s="6"/>
      <c r="I392" s="8">
        <v>46226.427048611113</v>
      </c>
      <c r="J392" s="6" t="str">
        <f>IF(history[[#This Row],[在庫操作タイプ]]="注文",_xlfn.XLOOKUP(history[[#This Row],[商品ID]],stats[商品ID],stats[単価],"？"),"")</f>
        <v/>
      </c>
    </row>
    <row r="393" spans="1:10">
      <c r="A393" s="6" t="s">
        <v>477</v>
      </c>
      <c r="B393" s="6" t="s">
        <v>433</v>
      </c>
      <c r="C393" s="6" t="s">
        <v>11</v>
      </c>
      <c r="D393" s="6">
        <v>49328714</v>
      </c>
      <c r="E393" s="6" t="s">
        <v>461</v>
      </c>
      <c r="F393" s="6">
        <v>0</v>
      </c>
      <c r="G393" s="6">
        <v>10</v>
      </c>
      <c r="H393" s="9">
        <v>46292</v>
      </c>
      <c r="I393" s="8">
        <v>46226.427048611113</v>
      </c>
      <c r="J393" s="6" t="str">
        <f>IF(history[[#This Row],[在庫操作タイプ]]="注文",_xlfn.XLOOKUP(history[[#This Row],[商品ID]],stats[商品ID],stats[単価],"？"),"")</f>
        <v/>
      </c>
    </row>
    <row r="394" spans="1:10">
      <c r="A394" s="6" t="s">
        <v>478</v>
      </c>
      <c r="B394" s="6" t="s">
        <v>479</v>
      </c>
      <c r="C394" s="6" t="s">
        <v>480</v>
      </c>
      <c r="D394" s="6">
        <v>4987035043515</v>
      </c>
      <c r="E394" s="6" t="s">
        <v>461</v>
      </c>
      <c r="F394" s="6">
        <v>0</v>
      </c>
      <c r="G394" s="6">
        <v>3</v>
      </c>
      <c r="H394" s="9">
        <v>46477</v>
      </c>
      <c r="I394" s="8">
        <v>46226.427048611113</v>
      </c>
      <c r="J394" s="6" t="str">
        <f>IF(history[[#This Row],[在庫操作タイプ]]="注文",_xlfn.XLOOKUP(history[[#This Row],[商品ID]],stats[商品ID],stats[単価],"？"),"")</f>
        <v/>
      </c>
    </row>
    <row r="395" spans="1:10">
      <c r="A395" s="6" t="s">
        <v>481</v>
      </c>
      <c r="B395" s="6" t="s">
        <v>437</v>
      </c>
      <c r="C395" s="6" t="s">
        <v>280</v>
      </c>
      <c r="D395" s="6">
        <v>4970055804099</v>
      </c>
      <c r="E395" s="6" t="s">
        <v>461</v>
      </c>
      <c r="F395" s="6">
        <v>0</v>
      </c>
      <c r="G395" s="6">
        <v>5</v>
      </c>
      <c r="H395" s="9">
        <v>46321</v>
      </c>
      <c r="I395" s="8">
        <v>46226.427048611113</v>
      </c>
      <c r="J395" s="6" t="str">
        <f>IF(history[[#This Row],[在庫操作タイプ]]="注文",_xlfn.XLOOKUP(history[[#This Row],[商品ID]],stats[商品ID],stats[単価],"？"),"")</f>
        <v/>
      </c>
    </row>
    <row r="396" spans="1:10">
      <c r="A396" s="6" t="s">
        <v>482</v>
      </c>
      <c r="B396" s="6" t="s">
        <v>432</v>
      </c>
      <c r="C396" s="6" t="s">
        <v>6</v>
      </c>
      <c r="D396" s="6">
        <v>4901588617511</v>
      </c>
      <c r="E396" s="6" t="s">
        <v>461</v>
      </c>
      <c r="F396" s="6">
        <v>15</v>
      </c>
      <c r="G396" s="6">
        <v>14</v>
      </c>
      <c r="H396" s="9">
        <v>46499</v>
      </c>
      <c r="I396" s="8">
        <v>46226.427048611113</v>
      </c>
      <c r="J396" s="6" t="str">
        <f>IF(history[[#This Row],[在庫操作タイプ]]="注文",_xlfn.XLOOKUP(history[[#This Row],[商品ID]],stats[商品ID],stats[単価],"？"),"")</f>
        <v/>
      </c>
    </row>
    <row r="397" spans="1:10">
      <c r="A397" s="6" t="s">
        <v>483</v>
      </c>
      <c r="B397" s="6" t="s">
        <v>431</v>
      </c>
      <c r="C397" s="6" t="s">
        <v>15</v>
      </c>
      <c r="D397" s="6">
        <v>4901360358397</v>
      </c>
      <c r="E397" s="6" t="s">
        <v>461</v>
      </c>
      <c r="F397" s="6">
        <v>10</v>
      </c>
      <c r="G397" s="6">
        <v>13</v>
      </c>
      <c r="H397" s="9">
        <v>46538</v>
      </c>
      <c r="I397" s="8">
        <v>46226.427048611113</v>
      </c>
      <c r="J397" s="6" t="str">
        <f>IF(history[[#This Row],[在庫操作タイプ]]="注文",_xlfn.XLOOKUP(history[[#This Row],[商品ID]],stats[商品ID],stats[単価],"？"),"")</f>
        <v/>
      </c>
    </row>
    <row r="398" spans="1:10">
      <c r="A398" s="6" t="s">
        <v>484</v>
      </c>
      <c r="B398" s="6" t="s">
        <v>427</v>
      </c>
      <c r="C398" s="6" t="s">
        <v>46</v>
      </c>
      <c r="D398" s="6">
        <v>4901984088281</v>
      </c>
      <c r="E398" s="6" t="s">
        <v>461</v>
      </c>
      <c r="F398" s="6">
        <v>0</v>
      </c>
      <c r="G398" s="6">
        <v>4</v>
      </c>
      <c r="H398" s="6"/>
      <c r="I398" s="8">
        <v>46226.427048611113</v>
      </c>
      <c r="J398" s="6" t="str">
        <f>IF(history[[#This Row],[在庫操作タイプ]]="注文",_xlfn.XLOOKUP(history[[#This Row],[商品ID]],stats[商品ID],stats[単価],"？"),"")</f>
        <v/>
      </c>
    </row>
    <row r="399" spans="1:10">
      <c r="A399" s="6" t="s">
        <v>485</v>
      </c>
      <c r="B399" s="6" t="s">
        <v>457</v>
      </c>
      <c r="C399" s="6" t="s">
        <v>458</v>
      </c>
      <c r="D399" s="6">
        <v>4901940115846</v>
      </c>
      <c r="E399" s="6" t="s">
        <v>461</v>
      </c>
      <c r="F399" s="6">
        <v>0</v>
      </c>
      <c r="G399" s="6">
        <v>6</v>
      </c>
      <c r="H399" s="9">
        <v>46429</v>
      </c>
      <c r="I399" s="8">
        <v>46226.427048611113</v>
      </c>
      <c r="J399" s="6" t="str">
        <f>IF(history[[#This Row],[在庫操作タイプ]]="注文",_xlfn.XLOOKUP(history[[#This Row],[商品ID]],stats[商品ID],stats[単価],"？"),"")</f>
        <v/>
      </c>
    </row>
    <row r="400" spans="1:10">
      <c r="A400" s="6" t="s">
        <v>486</v>
      </c>
      <c r="B400" s="6" t="s">
        <v>429</v>
      </c>
      <c r="C400" s="6" t="s">
        <v>49</v>
      </c>
      <c r="D400" s="6">
        <v>4901313207734</v>
      </c>
      <c r="E400" s="6" t="s">
        <v>461</v>
      </c>
      <c r="F400" s="6">
        <v>0</v>
      </c>
      <c r="G400" s="6">
        <v>10</v>
      </c>
      <c r="H400" s="9">
        <v>46356</v>
      </c>
      <c r="I400" s="8">
        <v>46226.427048611113</v>
      </c>
      <c r="J400" s="6" t="str">
        <f>IF(history[[#This Row],[在庫操作タイプ]]="注文",_xlfn.XLOOKUP(history[[#This Row],[商品ID]],stats[商品ID],stats[単価],"？"),"")</f>
        <v/>
      </c>
    </row>
    <row r="401" spans="1:10">
      <c r="A401" s="6" t="s">
        <v>487</v>
      </c>
      <c r="B401" s="6" t="s">
        <v>428</v>
      </c>
      <c r="C401" s="6" t="s">
        <v>35</v>
      </c>
      <c r="D401" s="6">
        <v>4902888232374</v>
      </c>
      <c r="E401" s="6" t="s">
        <v>461</v>
      </c>
      <c r="F401" s="6">
        <v>0</v>
      </c>
      <c r="G401" s="6">
        <v>8</v>
      </c>
      <c r="H401" s="9">
        <v>46142</v>
      </c>
      <c r="I401" s="8">
        <v>46226.427048611113</v>
      </c>
      <c r="J401" s="6" t="str">
        <f>IF(history[[#This Row],[在庫操作タイプ]]="注文",_xlfn.XLOOKUP(history[[#This Row],[商品ID]],stats[商品ID],stats[単価],"？"),"")</f>
        <v/>
      </c>
    </row>
    <row r="402" spans="1:10">
      <c r="A402" s="6" t="s">
        <v>488</v>
      </c>
      <c r="B402" s="6" t="s">
        <v>423</v>
      </c>
      <c r="C402" s="6" t="s">
        <v>96</v>
      </c>
      <c r="D402" s="6">
        <v>4987240618607</v>
      </c>
      <c r="E402" s="6" t="s">
        <v>461</v>
      </c>
      <c r="F402" s="6">
        <v>6</v>
      </c>
      <c r="G402" s="6">
        <v>6</v>
      </c>
      <c r="H402" s="9">
        <v>46691</v>
      </c>
      <c r="I402" s="8">
        <v>46226.427048611113</v>
      </c>
      <c r="J402" s="6" t="str">
        <f>IF(history[[#This Row],[在庫操作タイプ]]="注文",_xlfn.XLOOKUP(history[[#This Row],[商品ID]],stats[商品ID],stats[単価],"？"),"")</f>
        <v/>
      </c>
    </row>
    <row r="403" spans="1:10">
      <c r="A403" s="6" t="s">
        <v>489</v>
      </c>
      <c r="B403" s="6" t="s">
        <v>424</v>
      </c>
      <c r="C403" s="6" t="s">
        <v>18</v>
      </c>
      <c r="D403" s="6">
        <v>4977821321491</v>
      </c>
      <c r="E403" s="6" t="s">
        <v>461</v>
      </c>
      <c r="F403" s="6">
        <v>0</v>
      </c>
      <c r="G403" s="6">
        <v>12</v>
      </c>
      <c r="H403" s="9">
        <v>46289</v>
      </c>
      <c r="I403" s="8">
        <v>46226.427048611113</v>
      </c>
      <c r="J403" s="6" t="str">
        <f>IF(history[[#This Row],[在庫操作タイプ]]="注文",_xlfn.XLOOKUP(history[[#This Row],[商品ID]],stats[商品ID],stats[単価],"？"),"")</f>
        <v/>
      </c>
    </row>
    <row r="404" spans="1:10">
      <c r="A404" s="6" t="s">
        <v>490</v>
      </c>
      <c r="B404" s="6" t="s">
        <v>426</v>
      </c>
      <c r="C404" s="6" t="s">
        <v>13</v>
      </c>
      <c r="D404" s="6">
        <v>4901360358373</v>
      </c>
      <c r="E404" s="6" t="s">
        <v>461</v>
      </c>
      <c r="F404" s="6">
        <v>10</v>
      </c>
      <c r="G404" s="6">
        <v>10</v>
      </c>
      <c r="H404" s="9">
        <v>46568</v>
      </c>
      <c r="I404" s="8">
        <v>46226.427048611113</v>
      </c>
      <c r="J404" s="6" t="str">
        <f>IF(history[[#This Row],[在庫操作タイプ]]="注文",_xlfn.XLOOKUP(history[[#This Row],[商品ID]],stats[商品ID],stats[単価],"？"),"")</f>
        <v/>
      </c>
    </row>
    <row r="405" spans="1:10">
      <c r="A405" s="6" t="s">
        <v>491</v>
      </c>
      <c r="B405" s="6" t="s">
        <v>438</v>
      </c>
      <c r="C405" s="6" t="s">
        <v>292</v>
      </c>
      <c r="D405" s="6">
        <v>4901360353057</v>
      </c>
      <c r="E405" s="6" t="s">
        <v>461</v>
      </c>
      <c r="F405" s="6">
        <v>0</v>
      </c>
      <c r="G405" s="6">
        <v>7</v>
      </c>
      <c r="H405" s="9">
        <v>46388</v>
      </c>
      <c r="I405" s="8">
        <v>46226.427048611113</v>
      </c>
      <c r="J405" s="6" t="str">
        <f>IF(history[[#This Row],[在庫操作タイプ]]="注文",_xlfn.XLOOKUP(history[[#This Row],[商品ID]],stats[商品ID],stats[単価],"？"),"")</f>
        <v/>
      </c>
    </row>
    <row r="406" spans="1:10">
      <c r="A406" s="6" t="s">
        <v>363</v>
      </c>
      <c r="B406" s="6" t="s">
        <v>431</v>
      </c>
      <c r="C406" s="6" t="s">
        <v>15</v>
      </c>
      <c r="D406" s="6">
        <v>4901360358397</v>
      </c>
      <c r="E406" s="6" t="s">
        <v>448</v>
      </c>
      <c r="F406" s="6">
        <v>-1</v>
      </c>
      <c r="G406" s="6">
        <v>12</v>
      </c>
      <c r="H406" s="9">
        <v>46538</v>
      </c>
      <c r="I406" s="8">
        <v>46226.62164351852</v>
      </c>
      <c r="J406" s="6">
        <f>IF(history[[#This Row],[在庫操作タイプ]]="注文",_xlfn.XLOOKUP(history[[#This Row],[商品ID]],stats[商品ID],stats[単価],"？"),"")</f>
        <v>82</v>
      </c>
    </row>
    <row r="407" spans="1:10">
      <c r="A407" s="6" t="s">
        <v>365</v>
      </c>
      <c r="B407" s="6" t="s">
        <v>426</v>
      </c>
      <c r="C407" s="6" t="s">
        <v>13</v>
      </c>
      <c r="D407" s="6">
        <v>4901360358373</v>
      </c>
      <c r="E407" s="6" t="s">
        <v>448</v>
      </c>
      <c r="F407" s="6">
        <v>-1</v>
      </c>
      <c r="G407" s="6">
        <v>9</v>
      </c>
      <c r="H407" s="9">
        <v>46568</v>
      </c>
      <c r="I407" s="8">
        <v>46226.629004629627</v>
      </c>
      <c r="J407" s="6">
        <f>IF(history[[#This Row],[在庫操作タイプ]]="注文",_xlfn.XLOOKUP(history[[#This Row],[商品ID]],stats[商品ID],stats[単価],"？"),"")</f>
        <v>82</v>
      </c>
    </row>
    <row r="408" spans="1:10">
      <c r="A408" s="6" t="s">
        <v>367</v>
      </c>
      <c r="B408" s="6" t="s">
        <v>426</v>
      </c>
      <c r="C408" s="6" t="s">
        <v>13</v>
      </c>
      <c r="D408" s="6">
        <v>4901360358373</v>
      </c>
      <c r="E408" s="6" t="s">
        <v>448</v>
      </c>
      <c r="F408" s="6">
        <v>-1</v>
      </c>
      <c r="G408" s="6">
        <v>8</v>
      </c>
      <c r="H408" s="9">
        <v>46568</v>
      </c>
      <c r="I408" s="8">
        <v>46226.633043981485</v>
      </c>
      <c r="J408" s="6">
        <f>IF(history[[#This Row],[在庫操作タイプ]]="注文",_xlfn.XLOOKUP(history[[#This Row],[商品ID]],stats[商品ID],stats[単価],"？"),"")</f>
        <v>82</v>
      </c>
    </row>
    <row r="409" spans="1:10">
      <c r="A409" s="6" t="s">
        <v>451</v>
      </c>
      <c r="B409" s="6" t="s">
        <v>436</v>
      </c>
      <c r="C409" s="6" t="s">
        <v>277</v>
      </c>
      <c r="D409" s="6">
        <v>4970055804112</v>
      </c>
      <c r="E409" s="6" t="s">
        <v>450</v>
      </c>
      <c r="F409" s="6">
        <v>0</v>
      </c>
      <c r="G409" s="6">
        <v>5</v>
      </c>
      <c r="H409" s="9">
        <v>46331</v>
      </c>
      <c r="I409" s="8">
        <v>46226.644004629627</v>
      </c>
      <c r="J409" s="6" t="str">
        <f>IF(history[[#This Row],[在庫操作タイプ]]="注文",_xlfn.XLOOKUP(history[[#This Row],[商品ID]],stats[商品ID],stats[単価],"？"),"")</f>
        <v/>
      </c>
    </row>
    <row r="410" spans="1:10">
      <c r="A410" s="6" t="s">
        <v>452</v>
      </c>
      <c r="B410" s="6" t="s">
        <v>437</v>
      </c>
      <c r="C410" s="6" t="s">
        <v>280</v>
      </c>
      <c r="D410" s="6">
        <v>4970055804099</v>
      </c>
      <c r="E410" s="6" t="s">
        <v>450</v>
      </c>
      <c r="F410" s="6">
        <v>0</v>
      </c>
      <c r="G410" s="6">
        <v>5</v>
      </c>
      <c r="H410" s="9">
        <v>46321</v>
      </c>
      <c r="I410" s="8">
        <v>46226.644004629627</v>
      </c>
      <c r="J410" s="6" t="str">
        <f>IF(history[[#This Row],[在庫操作タイプ]]="注文",_xlfn.XLOOKUP(history[[#This Row],[商品ID]],stats[商品ID],stats[単価],"？"),"")</f>
        <v/>
      </c>
    </row>
    <row r="411" spans="1:10">
      <c r="A411" s="6" t="s">
        <v>453</v>
      </c>
      <c r="B411" s="6" t="s">
        <v>426</v>
      </c>
      <c r="C411" s="6" t="s">
        <v>13</v>
      </c>
      <c r="D411" s="6">
        <v>4901360358373</v>
      </c>
      <c r="E411" s="6" t="s">
        <v>450</v>
      </c>
      <c r="F411" s="6">
        <v>0</v>
      </c>
      <c r="G411" s="6">
        <v>8</v>
      </c>
      <c r="H411" s="9">
        <v>46568</v>
      </c>
      <c r="I411" s="8">
        <v>46226.644004629627</v>
      </c>
      <c r="J411" s="6" t="str">
        <f>IF(history[[#This Row],[在庫操作タイプ]]="注文",_xlfn.XLOOKUP(history[[#This Row],[商品ID]],stats[商品ID],stats[単価],"？"),"")</f>
        <v/>
      </c>
    </row>
    <row r="412" spans="1:10">
      <c r="A412" s="6" t="s">
        <v>454</v>
      </c>
      <c r="B412" s="6" t="s">
        <v>435</v>
      </c>
      <c r="C412" s="6" t="s">
        <v>330</v>
      </c>
      <c r="D412" s="6">
        <v>4901940117468</v>
      </c>
      <c r="E412" s="6" t="s">
        <v>450</v>
      </c>
      <c r="F412" s="6">
        <v>0</v>
      </c>
      <c r="G412" s="6">
        <v>4</v>
      </c>
      <c r="H412" s="9">
        <v>46347</v>
      </c>
      <c r="I412" s="8">
        <v>46226.644004629627</v>
      </c>
      <c r="J412" s="6" t="str">
        <f>IF(history[[#This Row],[在庫操作タイプ]]="注文",_xlfn.XLOOKUP(history[[#This Row],[商品ID]],stats[商品ID],stats[単価],"？"),"")</f>
        <v/>
      </c>
    </row>
    <row r="413" spans="1:10">
      <c r="A413" s="6" t="s">
        <v>455</v>
      </c>
      <c r="B413" s="6" t="s">
        <v>439</v>
      </c>
      <c r="C413" s="6" t="s">
        <v>271</v>
      </c>
      <c r="D413" s="6">
        <v>4901940115822</v>
      </c>
      <c r="E413" s="6" t="s">
        <v>450</v>
      </c>
      <c r="F413" s="6">
        <v>0</v>
      </c>
      <c r="G413" s="6">
        <v>7</v>
      </c>
      <c r="H413" s="9">
        <v>46363</v>
      </c>
      <c r="I413" s="8">
        <v>46226.644004629627</v>
      </c>
      <c r="J413" s="6" t="str">
        <f>IF(history[[#This Row],[在庫操作タイプ]]="注文",_xlfn.XLOOKUP(history[[#This Row],[商品ID]],stats[商品ID],stats[単価],"？"),"")</f>
        <v/>
      </c>
    </row>
    <row r="414" spans="1:10">
      <c r="A414" s="6" t="s">
        <v>456</v>
      </c>
      <c r="B414" s="6" t="s">
        <v>457</v>
      </c>
      <c r="C414" s="6" t="s">
        <v>458</v>
      </c>
      <c r="D414" s="6">
        <v>4901940115846</v>
      </c>
      <c r="E414" s="6" t="s">
        <v>450</v>
      </c>
      <c r="F414" s="6">
        <v>0</v>
      </c>
      <c r="G414" s="6">
        <v>6</v>
      </c>
      <c r="H414" s="9">
        <v>46429</v>
      </c>
      <c r="I414" s="8">
        <v>46226.644004629627</v>
      </c>
      <c r="J414" s="6" t="str">
        <f>IF(history[[#This Row],[在庫操作タイプ]]="注文",_xlfn.XLOOKUP(history[[#This Row],[商品ID]],stats[商品ID],stats[単価],"？"),"")</f>
        <v/>
      </c>
    </row>
    <row r="415" spans="1:10">
      <c r="A415" s="6" t="s">
        <v>459</v>
      </c>
      <c r="B415" s="6" t="s">
        <v>433</v>
      </c>
      <c r="C415" s="6" t="s">
        <v>11</v>
      </c>
      <c r="D415" s="6">
        <v>49328714</v>
      </c>
      <c r="E415" s="6" t="s">
        <v>450</v>
      </c>
      <c r="F415" s="6">
        <v>0</v>
      </c>
      <c r="G415" s="6">
        <v>10</v>
      </c>
      <c r="H415" s="9">
        <v>46292</v>
      </c>
      <c r="I415" s="8">
        <v>46226.644004629627</v>
      </c>
      <c r="J415" s="6" t="str">
        <f>IF(history[[#This Row],[在庫操作タイプ]]="注文",_xlfn.XLOOKUP(history[[#This Row],[商品ID]],stats[商品ID],stats[単価],"？"),"")</f>
        <v/>
      </c>
    </row>
    <row r="416" spans="1:10">
      <c r="A416" s="6" t="s">
        <v>449</v>
      </c>
      <c r="B416" s="6" t="s">
        <v>438</v>
      </c>
      <c r="C416" s="6" t="s">
        <v>292</v>
      </c>
      <c r="D416" s="6">
        <v>4901360353057</v>
      </c>
      <c r="E416" s="6" t="s">
        <v>450</v>
      </c>
      <c r="F416" s="6">
        <v>0</v>
      </c>
      <c r="G416" s="6">
        <v>7</v>
      </c>
      <c r="H416" s="9">
        <v>46388</v>
      </c>
      <c r="I416" s="8">
        <v>46226.644571759258</v>
      </c>
      <c r="J416" s="6" t="str">
        <f>IF(history[[#This Row],[在庫操作タイプ]]="注文",_xlfn.XLOOKUP(history[[#This Row],[商品ID]],stats[商品ID],stats[単価],"？"),"")</f>
        <v/>
      </c>
    </row>
    <row r="417" spans="1:10">
      <c r="A417" s="6" t="s">
        <v>369</v>
      </c>
      <c r="B417" s="6" t="s">
        <v>426</v>
      </c>
      <c r="C417" s="6" t="s">
        <v>13</v>
      </c>
      <c r="D417" s="6">
        <v>4901360358373</v>
      </c>
      <c r="E417" s="6" t="s">
        <v>448</v>
      </c>
      <c r="F417" s="6">
        <v>-1</v>
      </c>
      <c r="G417" s="6">
        <v>7</v>
      </c>
      <c r="H417" s="9">
        <v>46568</v>
      </c>
      <c r="I417" s="8">
        <v>46226.668703703705</v>
      </c>
      <c r="J417" s="6">
        <f>IF(history[[#This Row],[在庫操作タイプ]]="注文",_xlfn.XLOOKUP(history[[#This Row],[商品ID]],stats[商品ID],stats[単価],"？"),"")</f>
        <v>82</v>
      </c>
    </row>
    <row r="418" spans="1:10">
      <c r="A418" s="6" t="s">
        <v>371</v>
      </c>
      <c r="B418" s="6" t="s">
        <v>431</v>
      </c>
      <c r="C418" s="6" t="s">
        <v>15</v>
      </c>
      <c r="D418" s="6">
        <v>4901360358397</v>
      </c>
      <c r="E418" s="6" t="s">
        <v>448</v>
      </c>
      <c r="F418" s="6">
        <v>-1</v>
      </c>
      <c r="G418" s="6">
        <v>11</v>
      </c>
      <c r="H418" s="9">
        <v>46538</v>
      </c>
      <c r="I418" s="8">
        <v>46226.678333333337</v>
      </c>
      <c r="J418" s="6">
        <f>IF(history[[#This Row],[在庫操作タイプ]]="注文",_xlfn.XLOOKUP(history[[#This Row],[商品ID]],stats[商品ID],stats[単価],"？"),"")</f>
        <v>82</v>
      </c>
    </row>
    <row r="419" spans="1:10">
      <c r="A419" s="6" t="s">
        <v>373</v>
      </c>
      <c r="B419" s="6" t="s">
        <v>424</v>
      </c>
      <c r="C419" s="6" t="s">
        <v>18</v>
      </c>
      <c r="D419" s="6">
        <v>4977821321491</v>
      </c>
      <c r="E419" s="6" t="s">
        <v>448</v>
      </c>
      <c r="F419" s="6">
        <v>-1</v>
      </c>
      <c r="G419" s="6">
        <v>11</v>
      </c>
      <c r="H419" s="9">
        <v>46289</v>
      </c>
      <c r="I419" s="8">
        <v>46226.690949074073</v>
      </c>
      <c r="J419" s="6">
        <f>IF(history[[#This Row],[在庫操作タイプ]]="注文",_xlfn.XLOOKUP(history[[#This Row],[商品ID]],stats[商品ID],stats[単価],"？"),"")</f>
        <v>60</v>
      </c>
    </row>
    <row r="420" spans="1:10">
      <c r="A420" s="6" t="s">
        <v>375</v>
      </c>
      <c r="B420" s="6" t="s">
        <v>424</v>
      </c>
      <c r="C420" s="6" t="s">
        <v>18</v>
      </c>
      <c r="D420" s="6">
        <v>4977821321491</v>
      </c>
      <c r="E420" s="6" t="s">
        <v>448</v>
      </c>
      <c r="F420" s="6">
        <v>-1</v>
      </c>
      <c r="G420" s="6">
        <v>10</v>
      </c>
      <c r="H420" s="9">
        <v>46289</v>
      </c>
      <c r="I420" s="8">
        <v>46226.690960648149</v>
      </c>
      <c r="J420" s="6">
        <f>IF(history[[#This Row],[在庫操作タイプ]]="注文",_xlfn.XLOOKUP(history[[#This Row],[商品ID]],stats[商品ID],stats[単価],"？"),"")</f>
        <v>60</v>
      </c>
    </row>
    <row r="421" spans="1:10">
      <c r="A421" s="6" t="s">
        <v>377</v>
      </c>
      <c r="B421" s="6" t="s">
        <v>437</v>
      </c>
      <c r="C421" s="6" t="s">
        <v>280</v>
      </c>
      <c r="D421" s="6">
        <v>4970055804099</v>
      </c>
      <c r="E421" s="6" t="s">
        <v>448</v>
      </c>
      <c r="F421" s="6">
        <v>-1</v>
      </c>
      <c r="G421" s="6">
        <v>4</v>
      </c>
      <c r="H421" s="9">
        <v>46321</v>
      </c>
      <c r="I421" s="8">
        <v>46226.707592592589</v>
      </c>
      <c r="J421" s="6">
        <f>IF(history[[#This Row],[在庫操作タイプ]]="注文",_xlfn.XLOOKUP(history[[#This Row],[商品ID]],stats[商品ID],stats[単価],"？"),"")</f>
        <v>123</v>
      </c>
    </row>
    <row r="422" spans="1:10">
      <c r="A422" s="6" t="s">
        <v>379</v>
      </c>
      <c r="B422" s="6" t="s">
        <v>426</v>
      </c>
      <c r="C422" s="6" t="s">
        <v>13</v>
      </c>
      <c r="D422" s="6">
        <v>4901360358373</v>
      </c>
      <c r="E422" s="6" t="s">
        <v>448</v>
      </c>
      <c r="F422" s="6">
        <v>-1</v>
      </c>
      <c r="G422" s="6">
        <v>6</v>
      </c>
      <c r="H422" s="9">
        <v>46568</v>
      </c>
      <c r="I422" s="8">
        <v>46226.708449074074</v>
      </c>
      <c r="J422" s="6">
        <f>IF(history[[#This Row],[在庫操作タイプ]]="注文",_xlfn.XLOOKUP(history[[#This Row],[商品ID]],stats[商品ID],stats[単価],"？"),"")</f>
        <v>82</v>
      </c>
    </row>
    <row r="423" spans="1:10">
      <c r="A423" s="6" t="s">
        <v>381</v>
      </c>
      <c r="B423" s="6" t="s">
        <v>424</v>
      </c>
      <c r="C423" s="6" t="s">
        <v>18</v>
      </c>
      <c r="D423" s="6">
        <v>4977821321491</v>
      </c>
      <c r="E423" s="6" t="s">
        <v>448</v>
      </c>
      <c r="F423" s="6">
        <v>-1</v>
      </c>
      <c r="G423" s="6">
        <v>9</v>
      </c>
      <c r="H423" s="9">
        <v>46289</v>
      </c>
      <c r="I423" s="8">
        <v>46226.708553240744</v>
      </c>
      <c r="J423" s="6">
        <f>IF(history[[#This Row],[在庫操作タイプ]]="注文",_xlfn.XLOOKUP(history[[#This Row],[商品ID]],stats[商品ID],stats[単価],"？"),"")</f>
        <v>60</v>
      </c>
    </row>
    <row r="424" spans="1:10">
      <c r="A424" s="6" t="s">
        <v>383</v>
      </c>
      <c r="B424" s="6" t="s">
        <v>436</v>
      </c>
      <c r="C424" s="6" t="s">
        <v>277</v>
      </c>
      <c r="D424" s="6">
        <v>4970055804112</v>
      </c>
      <c r="E424" s="6" t="s">
        <v>448</v>
      </c>
      <c r="F424" s="6">
        <v>-1</v>
      </c>
      <c r="G424" s="6">
        <v>4</v>
      </c>
      <c r="H424" s="9">
        <v>46331</v>
      </c>
      <c r="I424" s="8">
        <v>46226.709247685183</v>
      </c>
      <c r="J424" s="6">
        <f>IF(history[[#This Row],[在庫操作タイプ]]="注文",_xlfn.XLOOKUP(history[[#This Row],[商品ID]],stats[商品ID],stats[単価],"？"),"")</f>
        <v>123</v>
      </c>
    </row>
    <row r="425" spans="1:10">
      <c r="A425" s="6" t="s">
        <v>385</v>
      </c>
      <c r="B425" s="6" t="s">
        <v>425</v>
      </c>
      <c r="C425" s="6" t="s">
        <v>32</v>
      </c>
      <c r="D425" s="6">
        <v>4901330578909</v>
      </c>
      <c r="E425" s="6" t="s">
        <v>448</v>
      </c>
      <c r="F425" s="6">
        <v>-1</v>
      </c>
      <c r="G425" s="6">
        <v>6</v>
      </c>
      <c r="H425" s="9">
        <v>46184</v>
      </c>
      <c r="I425" s="8">
        <v>46226.710358796299</v>
      </c>
      <c r="J425" s="6">
        <f>IF(history[[#This Row],[在庫操作タイプ]]="注文",_xlfn.XLOOKUP(history[[#This Row],[商品ID]],stats[商品ID],stats[単価],"？"),"")</f>
        <v>201</v>
      </c>
    </row>
    <row r="426" spans="1:10">
      <c r="A426" s="6" t="s">
        <v>387</v>
      </c>
      <c r="B426" s="6" t="s">
        <v>429</v>
      </c>
      <c r="C426" s="6" t="s">
        <v>49</v>
      </c>
      <c r="D426" s="6">
        <v>4901313207734</v>
      </c>
      <c r="E426" s="6" t="s">
        <v>448</v>
      </c>
      <c r="F426" s="6">
        <v>-1</v>
      </c>
      <c r="G426" s="6">
        <v>9</v>
      </c>
      <c r="H426" s="9">
        <v>46356</v>
      </c>
      <c r="I426" s="8">
        <v>46226.711041666669</v>
      </c>
      <c r="J426" s="6">
        <f>IF(history[[#This Row],[在庫操作タイプ]]="注文",_xlfn.XLOOKUP(history[[#This Row],[商品ID]],stats[商品ID],stats[単価],"？"),"")</f>
        <v>62</v>
      </c>
    </row>
    <row r="427" spans="1:10">
      <c r="A427" s="6" t="s">
        <v>389</v>
      </c>
      <c r="B427" s="6" t="s">
        <v>439</v>
      </c>
      <c r="C427" s="6" t="s">
        <v>271</v>
      </c>
      <c r="D427" s="6">
        <v>4901940115822</v>
      </c>
      <c r="E427" s="6" t="s">
        <v>448</v>
      </c>
      <c r="F427" s="6">
        <v>-1</v>
      </c>
      <c r="G427" s="6">
        <v>6</v>
      </c>
      <c r="H427" s="9">
        <v>46363</v>
      </c>
      <c r="I427" s="8">
        <v>46226.711041666669</v>
      </c>
      <c r="J427" s="6">
        <f>IF(history[[#This Row],[在庫操作タイプ]]="注文",_xlfn.XLOOKUP(history[[#This Row],[商品ID]],stats[商品ID],stats[単価],"？"),"")</f>
        <v>113</v>
      </c>
    </row>
    <row r="428" spans="1:10">
      <c r="A428" s="6" t="s">
        <v>390</v>
      </c>
      <c r="B428" s="6" t="s">
        <v>424</v>
      </c>
      <c r="C428" s="6" t="s">
        <v>18</v>
      </c>
      <c r="D428" s="6">
        <v>4977821321491</v>
      </c>
      <c r="E428" s="6" t="s">
        <v>448</v>
      </c>
      <c r="F428" s="6">
        <v>-1</v>
      </c>
      <c r="G428" s="6">
        <v>8</v>
      </c>
      <c r="H428" s="9">
        <v>46289</v>
      </c>
      <c r="I428" s="8">
        <v>46226.711145833331</v>
      </c>
      <c r="J428" s="6">
        <f>IF(history[[#This Row],[在庫操作タイプ]]="注文",_xlfn.XLOOKUP(history[[#This Row],[商品ID]],stats[商品ID],stats[単価],"？"),"")</f>
        <v>60</v>
      </c>
    </row>
    <row r="429" spans="1:10">
      <c r="A429" s="6" t="s">
        <v>392</v>
      </c>
      <c r="B429" s="6" t="s">
        <v>432</v>
      </c>
      <c r="C429" s="6" t="s">
        <v>6</v>
      </c>
      <c r="D429" s="6">
        <v>4901588617511</v>
      </c>
      <c r="E429" s="6" t="s">
        <v>448</v>
      </c>
      <c r="F429" s="6">
        <v>-1</v>
      </c>
      <c r="G429" s="6">
        <v>13</v>
      </c>
      <c r="H429" s="9">
        <v>46499</v>
      </c>
      <c r="I429" s="8">
        <v>46227.427361111113</v>
      </c>
      <c r="J429" s="6">
        <f>IF(history[[#This Row],[在庫操作タイプ]]="注文",_xlfn.XLOOKUP(history[[#This Row],[商品ID]],stats[商品ID],stats[単価],"？"),"")</f>
        <v>51</v>
      </c>
    </row>
    <row r="430" spans="1:10">
      <c r="A430" s="6" t="s">
        <v>394</v>
      </c>
      <c r="B430" s="6" t="s">
        <v>440</v>
      </c>
      <c r="C430" s="6" t="s">
        <v>128</v>
      </c>
      <c r="D430" s="6">
        <v>45075476</v>
      </c>
      <c r="E430" s="6" t="s">
        <v>448</v>
      </c>
      <c r="F430" s="6">
        <v>-1</v>
      </c>
      <c r="G430" s="6">
        <v>16</v>
      </c>
      <c r="H430" s="6"/>
      <c r="I430" s="8">
        <v>46227.45171296296</v>
      </c>
      <c r="J430" s="6">
        <f>IF(history[[#This Row],[在庫操作タイプ]]="注文",_xlfn.XLOOKUP(history[[#This Row],[商品ID]],stats[商品ID],stats[単価],"？"),"")</f>
        <v>185</v>
      </c>
    </row>
    <row r="431" spans="1:10">
      <c r="A431" s="6" t="s">
        <v>396</v>
      </c>
      <c r="B431" s="6" t="s">
        <v>426</v>
      </c>
      <c r="C431" s="6" t="s">
        <v>13</v>
      </c>
      <c r="D431" s="6">
        <v>4901360358373</v>
      </c>
      <c r="E431" s="6" t="s">
        <v>448</v>
      </c>
      <c r="F431" s="6">
        <v>-1</v>
      </c>
      <c r="G431" s="6">
        <v>5</v>
      </c>
      <c r="H431" s="9">
        <v>46568</v>
      </c>
      <c r="I431" s="8">
        <v>46227.475648148145</v>
      </c>
      <c r="J431" s="6">
        <f>IF(history[[#This Row],[在庫操作タイプ]]="注文",_xlfn.XLOOKUP(history[[#This Row],[商品ID]],stats[商品ID],stats[単価],"？"),"")</f>
        <v>82</v>
      </c>
    </row>
    <row r="432" spans="1:10">
      <c r="A432" s="6" t="s">
        <v>398</v>
      </c>
      <c r="B432" s="6" t="s">
        <v>439</v>
      </c>
      <c r="C432" s="6" t="s">
        <v>271</v>
      </c>
      <c r="D432" s="6">
        <v>4901940115822</v>
      </c>
      <c r="E432" s="6" t="s">
        <v>448</v>
      </c>
      <c r="F432" s="6">
        <v>-1</v>
      </c>
      <c r="G432" s="6">
        <v>5</v>
      </c>
      <c r="H432" s="9">
        <v>46363</v>
      </c>
      <c r="I432" s="8">
        <v>46227.475648148145</v>
      </c>
      <c r="J432" s="6">
        <f>IF(history[[#This Row],[在庫操作タイプ]]="注文",_xlfn.XLOOKUP(history[[#This Row],[商品ID]],stats[商品ID],stats[単価],"？"),"")</f>
        <v>113</v>
      </c>
    </row>
    <row r="433" spans="1:10">
      <c r="A433" s="6" t="s">
        <v>399</v>
      </c>
      <c r="B433" s="6" t="s">
        <v>425</v>
      </c>
      <c r="C433" s="6" t="s">
        <v>32</v>
      </c>
      <c r="D433" s="6">
        <v>4901330578909</v>
      </c>
      <c r="E433" s="6" t="s">
        <v>448</v>
      </c>
      <c r="F433" s="6">
        <v>-1</v>
      </c>
      <c r="G433" s="6">
        <v>5</v>
      </c>
      <c r="H433" s="9">
        <v>46184</v>
      </c>
      <c r="I433" s="8">
        <v>46227.580868055556</v>
      </c>
      <c r="J433" s="6">
        <f>IF(history[[#This Row],[在庫操作タイプ]]="注文",_xlfn.XLOOKUP(history[[#This Row],[商品ID]],stats[商品ID],stats[単価],"？"),"")</f>
        <v>201</v>
      </c>
    </row>
    <row r="434" spans="1:10">
      <c r="A434" s="6" t="s">
        <v>401</v>
      </c>
      <c r="B434" s="6" t="s">
        <v>438</v>
      </c>
      <c r="C434" s="6" t="s">
        <v>292</v>
      </c>
      <c r="D434" s="6">
        <v>4901360353057</v>
      </c>
      <c r="E434" s="6" t="s">
        <v>448</v>
      </c>
      <c r="F434" s="6">
        <v>-1</v>
      </c>
      <c r="G434" s="6">
        <v>6</v>
      </c>
      <c r="H434" s="9">
        <v>46388</v>
      </c>
      <c r="I434" s="8">
        <v>46227.63962962963</v>
      </c>
      <c r="J434" s="6">
        <f>IF(history[[#This Row],[在庫操作タイプ]]="注文",_xlfn.XLOOKUP(history[[#This Row],[商品ID]],stats[商品ID],stats[単価],"？"),"")</f>
        <v>123</v>
      </c>
    </row>
    <row r="435" spans="1:10">
      <c r="A435" s="6" t="s">
        <v>403</v>
      </c>
      <c r="B435" s="6" t="s">
        <v>424</v>
      </c>
      <c r="C435" s="6" t="s">
        <v>18</v>
      </c>
      <c r="D435" s="6">
        <v>4977821321491</v>
      </c>
      <c r="E435" s="6" t="s">
        <v>448</v>
      </c>
      <c r="F435" s="6">
        <v>-1</v>
      </c>
      <c r="G435" s="6">
        <v>7</v>
      </c>
      <c r="H435" s="9">
        <v>46289</v>
      </c>
      <c r="I435" s="8">
        <v>46227.643576388888</v>
      </c>
      <c r="J435" s="6">
        <f>IF(history[[#This Row],[在庫操作タイプ]]="注文",_xlfn.XLOOKUP(history[[#This Row],[商品ID]],stats[商品ID],stats[単価],"？"),"")</f>
        <v>60</v>
      </c>
    </row>
    <row r="436" spans="1:10">
      <c r="A436" s="6" t="s">
        <v>405</v>
      </c>
      <c r="B436" s="6" t="s">
        <v>428</v>
      </c>
      <c r="C436" s="6" t="s">
        <v>35</v>
      </c>
      <c r="D436" s="6">
        <v>4902888232374</v>
      </c>
      <c r="E436" s="6" t="s">
        <v>448</v>
      </c>
      <c r="F436" s="6">
        <v>-1</v>
      </c>
      <c r="G436" s="6">
        <v>7</v>
      </c>
      <c r="H436" s="9">
        <v>46142</v>
      </c>
      <c r="I436" s="8">
        <v>46227.656122685185</v>
      </c>
      <c r="J436" s="6">
        <f>IF(history[[#This Row],[在庫操作タイプ]]="注文",_xlfn.XLOOKUP(history[[#This Row],[商品ID]],stats[商品ID],stats[単価],"？"),"")</f>
        <v>134</v>
      </c>
    </row>
    <row r="437" spans="1:10">
      <c r="A437" s="6" t="s">
        <v>407</v>
      </c>
      <c r="B437" s="6" t="s">
        <v>426</v>
      </c>
      <c r="C437" s="6" t="s">
        <v>13</v>
      </c>
      <c r="D437" s="6">
        <v>4901360358373</v>
      </c>
      <c r="E437" s="6" t="s">
        <v>448</v>
      </c>
      <c r="F437" s="6">
        <v>-1</v>
      </c>
      <c r="G437" s="6">
        <v>4</v>
      </c>
      <c r="H437" s="9">
        <v>46568</v>
      </c>
      <c r="I437" s="8">
        <v>46227.656157407408</v>
      </c>
      <c r="J437" s="6">
        <f>IF(history[[#This Row],[在庫操作タイプ]]="注文",_xlfn.XLOOKUP(history[[#This Row],[商品ID]],stats[商品ID],stats[単価],"？"),"")</f>
        <v>82</v>
      </c>
    </row>
    <row r="438" spans="1:10">
      <c r="A438" s="6" t="s">
        <v>409</v>
      </c>
      <c r="B438" s="6" t="s">
        <v>428</v>
      </c>
      <c r="C438" s="6" t="s">
        <v>35</v>
      </c>
      <c r="D438" s="6">
        <v>4902888232374</v>
      </c>
      <c r="E438" s="6" t="s">
        <v>448</v>
      </c>
      <c r="F438" s="6">
        <v>-1</v>
      </c>
      <c r="G438" s="6">
        <v>6</v>
      </c>
      <c r="H438" s="9">
        <v>46142</v>
      </c>
      <c r="I438" s="8">
        <v>46227.712071759262</v>
      </c>
      <c r="J438" s="6">
        <f>IF(history[[#This Row],[在庫操作タイプ]]="注文",_xlfn.XLOOKUP(history[[#This Row],[商品ID]],stats[商品ID],stats[単価],"？"),"")</f>
        <v>134</v>
      </c>
    </row>
    <row r="439" spans="1:10">
      <c r="A439" s="6" t="s">
        <v>411</v>
      </c>
      <c r="B439" s="6" t="s">
        <v>427</v>
      </c>
      <c r="C439" s="6" t="s">
        <v>46</v>
      </c>
      <c r="D439" s="6">
        <v>4901984088281</v>
      </c>
      <c r="E439" s="6" t="s">
        <v>448</v>
      </c>
      <c r="F439" s="6">
        <v>-1</v>
      </c>
      <c r="G439" s="6">
        <v>3</v>
      </c>
      <c r="H439" s="6"/>
      <c r="I439" s="8">
        <v>46227.712071759262</v>
      </c>
      <c r="J439" s="6">
        <f>IF(history[[#This Row],[在庫操作タイプ]]="注文",_xlfn.XLOOKUP(history[[#This Row],[商品ID]],stats[商品ID],stats[単価],"？"),"")</f>
        <v>41</v>
      </c>
    </row>
    <row r="440" spans="1:10">
      <c r="A440" s="6" t="s">
        <v>412</v>
      </c>
      <c r="B440" s="6" t="s">
        <v>426</v>
      </c>
      <c r="C440" s="6" t="s">
        <v>13</v>
      </c>
      <c r="D440" s="6">
        <v>4901360358373</v>
      </c>
      <c r="E440" s="6" t="s">
        <v>448</v>
      </c>
      <c r="F440" s="6">
        <v>-1</v>
      </c>
      <c r="G440" s="6">
        <v>3</v>
      </c>
      <c r="H440" s="9">
        <v>46568</v>
      </c>
      <c r="I440" s="8">
        <v>46227.718229166669</v>
      </c>
      <c r="J440" s="6">
        <f>IF(history[[#This Row],[在庫操作タイプ]]="注文",_xlfn.XLOOKUP(history[[#This Row],[商品ID]],stats[商品ID],stats[単価],"？"),"")</f>
        <v>82</v>
      </c>
    </row>
    <row r="441" spans="1:10">
      <c r="A441" s="6" t="s">
        <v>414</v>
      </c>
      <c r="B441" s="6" t="s">
        <v>441</v>
      </c>
      <c r="C441" s="6" t="s">
        <v>415</v>
      </c>
      <c r="D441" s="6">
        <v>49698633</v>
      </c>
      <c r="E441" s="6" t="s">
        <v>448</v>
      </c>
      <c r="F441" s="6">
        <v>-1</v>
      </c>
      <c r="G441" s="6">
        <v>0</v>
      </c>
      <c r="H441" s="6"/>
      <c r="I441" s="8">
        <v>46228.437025462961</v>
      </c>
      <c r="J441" s="6">
        <f>IF(history[[#This Row],[在庫操作タイプ]]="注文",_xlfn.XLOOKUP(history[[#This Row],[商品ID]],stats[商品ID],stats[単価],"？"),"")</f>
        <v>255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D496A-461E-4423-A0A0-1EC24DBC4BE1}">
  <dimension ref="A1:K22"/>
  <sheetViews>
    <sheetView tabSelected="1" workbookViewId="0">
      <selection activeCell="K14" sqref="K14"/>
    </sheetView>
  </sheetViews>
  <sheetFormatPr defaultRowHeight="13.2"/>
  <cols>
    <col min="1" max="1" width="29.44140625" bestFit="1" customWidth="1"/>
    <col min="2" max="2" width="38.109375" bestFit="1" customWidth="1"/>
    <col min="3" max="3" width="13.5546875" customWidth="1"/>
    <col min="4" max="4" width="9.21875" customWidth="1"/>
    <col min="5" max="5" width="11.33203125" customWidth="1"/>
  </cols>
  <sheetData>
    <row r="1" spans="1:11">
      <c r="A1" s="6" t="s">
        <v>418</v>
      </c>
      <c r="B1" s="6" t="s">
        <v>419</v>
      </c>
      <c r="C1" s="6" t="s">
        <v>420</v>
      </c>
      <c r="D1" s="6" t="s">
        <v>2</v>
      </c>
      <c r="E1" s="6" t="s">
        <v>421</v>
      </c>
      <c r="F1" s="6" t="s">
        <v>434</v>
      </c>
      <c r="G1" s="6" t="s">
        <v>442</v>
      </c>
      <c r="H1" s="6" t="s">
        <v>692</v>
      </c>
      <c r="J1" t="s">
        <v>542</v>
      </c>
      <c r="K1">
        <f>SUMPRODUCT(stats[単価],stats[数])</f>
        <v>20841</v>
      </c>
    </row>
    <row r="2" spans="1:11">
      <c r="A2" s="6" t="s">
        <v>425</v>
      </c>
      <c r="B2" s="6" t="s">
        <v>32</v>
      </c>
      <c r="C2" s="6">
        <v>402</v>
      </c>
      <c r="D2" s="6">
        <v>2</v>
      </c>
      <c r="E2" s="6">
        <v>2</v>
      </c>
      <c r="F2" s="7">
        <f>stats[[#This Row],[売上高（円）]]/stats[[#This Row],[売上数]]</f>
        <v>201</v>
      </c>
      <c r="G2" s="6">
        <f>COUNTIF(stats[商品ID],stats[[#This Row],[商品ID]])</f>
        <v>1</v>
      </c>
      <c r="H2" s="6">
        <f>-SUMIFS(history[在庫変更数],history[在庫操作タイプ],"注文",history[商品ID],stats[[#This Row],[商品ID]])</f>
        <v>7</v>
      </c>
      <c r="J2" t="s">
        <v>542</v>
      </c>
      <c r="K2">
        <f>SUMPRODUCT(stats[単価],stats[売上数])</f>
        <v>9888</v>
      </c>
    </row>
    <row r="3" spans="1:11">
      <c r="A3" s="6" t="s">
        <v>441</v>
      </c>
      <c r="B3" s="6" t="s">
        <v>415</v>
      </c>
      <c r="C3" s="6">
        <v>255</v>
      </c>
      <c r="D3" s="6">
        <v>1</v>
      </c>
      <c r="E3" s="6">
        <v>1</v>
      </c>
      <c r="F3" s="7">
        <f>stats[[#This Row],[売上高（円）]]/stats[[#This Row],[売上数]]</f>
        <v>255</v>
      </c>
      <c r="G3" s="6">
        <f>COUNTIF(stats[商品ID],stats[[#This Row],[商品ID]])</f>
        <v>1</v>
      </c>
      <c r="H3" s="6">
        <f>-SUMIFS(history[在庫変更数],history[在庫操作タイプ],"注文",history[商品ID],stats[[#This Row],[商品ID]])</f>
        <v>1</v>
      </c>
    </row>
    <row r="4" spans="1:11">
      <c r="A4" s="6" t="s">
        <v>426</v>
      </c>
      <c r="B4" s="6" t="s">
        <v>13</v>
      </c>
      <c r="C4" s="6">
        <v>1230</v>
      </c>
      <c r="D4" s="6">
        <v>15</v>
      </c>
      <c r="E4" s="6">
        <v>15</v>
      </c>
      <c r="F4" s="7">
        <f>stats[[#This Row],[売上高（円）]]/stats[[#This Row],[売上数]]</f>
        <v>82</v>
      </c>
      <c r="G4" s="6">
        <f>COUNTIF(stats[商品ID],stats[[#This Row],[商品ID]])</f>
        <v>1</v>
      </c>
      <c r="H4" s="6">
        <f>-SUMIFS(history[在庫変更数],history[在庫操作タイプ],"注文",history[商品ID],stats[[#This Row],[商品ID]])</f>
        <v>27</v>
      </c>
    </row>
    <row r="5" spans="1:11">
      <c r="A5" s="6" t="s">
        <v>438</v>
      </c>
      <c r="B5" s="6" t="s">
        <v>292</v>
      </c>
      <c r="C5" s="6">
        <v>369</v>
      </c>
      <c r="D5" s="6">
        <v>3</v>
      </c>
      <c r="E5" s="6">
        <v>3</v>
      </c>
      <c r="F5" s="7">
        <f>stats[[#This Row],[売上高（円）]]/stats[[#This Row],[売上数]]</f>
        <v>123</v>
      </c>
      <c r="G5" s="6">
        <f>COUNTIF(stats[商品ID],stats[[#This Row],[商品ID]])</f>
        <v>1</v>
      </c>
      <c r="H5" s="6">
        <f>-SUMIFS(history[在庫変更数],history[在庫操作タイプ],"注文",history[商品ID],stats[[#This Row],[商品ID]])</f>
        <v>3</v>
      </c>
    </row>
    <row r="6" spans="1:11">
      <c r="A6" s="6" t="s">
        <v>433</v>
      </c>
      <c r="B6" s="6" t="s">
        <v>11</v>
      </c>
      <c r="C6" s="6">
        <v>41</v>
      </c>
      <c r="D6" s="6">
        <v>1</v>
      </c>
      <c r="E6" s="6">
        <v>1</v>
      </c>
      <c r="F6" s="7">
        <f>stats[[#This Row],[売上高（円）]]/stats[[#This Row],[売上数]]</f>
        <v>41</v>
      </c>
      <c r="G6" s="6">
        <f>COUNTIF(stats[商品ID],stats[[#This Row],[商品ID]])</f>
        <v>1</v>
      </c>
      <c r="H6" s="6">
        <f>-SUMIFS(history[在庫変更数],history[在庫操作タイプ],"注文",history[商品ID],stats[[#This Row],[商品ID]])</f>
        <v>10</v>
      </c>
    </row>
    <row r="7" spans="1:11">
      <c r="A7" s="6" t="s">
        <v>432</v>
      </c>
      <c r="B7" s="6" t="s">
        <v>6</v>
      </c>
      <c r="C7" s="6">
        <v>612</v>
      </c>
      <c r="D7" s="6">
        <v>12</v>
      </c>
      <c r="E7" s="6">
        <v>8</v>
      </c>
      <c r="F7" s="6">
        <f>stats[[#This Row],[売上高（円）]]/stats[[#This Row],[売上数]]</f>
        <v>51</v>
      </c>
      <c r="G7" s="6">
        <f>COUNTIF(stats[商品ID],stats[[#This Row],[商品ID]])</f>
        <v>1</v>
      </c>
      <c r="H7" s="6">
        <f>-SUMIFS(history[在庫変更数],history[在庫操作タイプ],"注文",history[商品ID],stats[[#This Row],[商品ID]])</f>
        <v>37</v>
      </c>
    </row>
    <row r="8" spans="1:11">
      <c r="A8" s="6" t="s">
        <v>440</v>
      </c>
      <c r="B8" s="6" t="s">
        <v>128</v>
      </c>
      <c r="C8" s="6">
        <v>370</v>
      </c>
      <c r="D8" s="6">
        <v>2</v>
      </c>
      <c r="E8" s="6">
        <v>2</v>
      </c>
      <c r="F8" s="7">
        <f>stats[[#This Row],[売上高（円）]]/stats[[#This Row],[売上数]]</f>
        <v>185</v>
      </c>
      <c r="G8" s="6">
        <f>COUNTIF(stats[商品ID],stats[[#This Row],[商品ID]])</f>
        <v>1</v>
      </c>
      <c r="H8" s="6">
        <f>-SUMIFS(history[在庫変更数],history[在庫操作タイプ],"注文",history[商品ID],stats[[#This Row],[商品ID]])</f>
        <v>4</v>
      </c>
    </row>
    <row r="9" spans="1:11">
      <c r="A9" s="6" t="s">
        <v>431</v>
      </c>
      <c r="B9" s="6" t="s">
        <v>15</v>
      </c>
      <c r="C9" s="6">
        <v>656</v>
      </c>
      <c r="D9" s="6">
        <v>8</v>
      </c>
      <c r="E9" s="6">
        <v>8</v>
      </c>
      <c r="F9" s="7">
        <f>stats[[#This Row],[売上高（円）]]/stats[[#This Row],[売上数]]</f>
        <v>82</v>
      </c>
      <c r="G9" s="6">
        <f>COUNTIF(stats[商品ID],stats[[#This Row],[商品ID]])</f>
        <v>1</v>
      </c>
      <c r="H9" s="6">
        <f>-SUMIFS(history[在庫変更数],history[在庫操作タイプ],"注文",history[商品ID],stats[[#This Row],[商品ID]])</f>
        <v>19</v>
      </c>
    </row>
    <row r="10" spans="1:11">
      <c r="A10" s="6" t="s">
        <v>427</v>
      </c>
      <c r="B10" s="6" t="s">
        <v>46</v>
      </c>
      <c r="C10" s="6">
        <v>205</v>
      </c>
      <c r="D10" s="6">
        <v>5</v>
      </c>
      <c r="E10" s="6">
        <v>5</v>
      </c>
      <c r="F10" s="7">
        <f>stats[[#This Row],[売上高（円）]]/stats[[#This Row],[売上数]]</f>
        <v>41</v>
      </c>
      <c r="G10" s="6">
        <f>COUNTIF(stats[商品ID],stats[[#This Row],[商品ID]])</f>
        <v>1</v>
      </c>
      <c r="H10" s="6">
        <f>-SUMIFS(history[在庫変更数],history[在庫操作タイプ],"注文",history[商品ID],stats[[#This Row],[商品ID]])</f>
        <v>17</v>
      </c>
    </row>
    <row r="11" spans="1:11">
      <c r="A11" s="6" t="s">
        <v>435</v>
      </c>
      <c r="B11" s="6" t="s">
        <v>330</v>
      </c>
      <c r="C11" s="6">
        <v>226</v>
      </c>
      <c r="D11" s="6">
        <v>2</v>
      </c>
      <c r="E11" s="6">
        <v>2</v>
      </c>
      <c r="F11" s="7">
        <f>stats[[#This Row],[売上高（円）]]/stats[[#This Row],[売上数]]</f>
        <v>113</v>
      </c>
      <c r="G11" s="6">
        <f>COUNTIF(stats[商品ID],stats[[#This Row],[商品ID]])</f>
        <v>1</v>
      </c>
      <c r="H11" s="6">
        <f>-SUMIFS(history[在庫変更数],history[在庫操作タイプ],"注文",history[商品ID],stats[[#This Row],[商品ID]])</f>
        <v>2</v>
      </c>
    </row>
    <row r="12" spans="1:11">
      <c r="A12" s="6" t="s">
        <v>422</v>
      </c>
      <c r="B12" s="6" t="s">
        <v>21</v>
      </c>
      <c r="C12" s="6">
        <v>185</v>
      </c>
      <c r="D12" s="6">
        <v>1</v>
      </c>
      <c r="E12" s="6">
        <v>1</v>
      </c>
      <c r="F12" s="7">
        <f>stats[[#This Row],[売上高（円）]]/stats[[#This Row],[売上数]]</f>
        <v>185</v>
      </c>
      <c r="G12" s="6">
        <f>COUNTIF(stats[商品ID],stats[[#This Row],[商品ID]])</f>
        <v>1</v>
      </c>
      <c r="H12" s="6">
        <f>-SUMIFS(history[在庫変更数],history[在庫操作タイプ],"注文",history[商品ID],stats[[#This Row],[商品ID]])</f>
        <v>5</v>
      </c>
    </row>
    <row r="13" spans="1:11">
      <c r="A13" s="6" t="s">
        <v>430</v>
      </c>
      <c r="B13" s="6" t="s">
        <v>206</v>
      </c>
      <c r="C13" s="6">
        <v>410</v>
      </c>
      <c r="D13" s="6">
        <v>5</v>
      </c>
      <c r="E13" s="6">
        <v>5</v>
      </c>
      <c r="F13" s="6">
        <f>stats[[#This Row],[売上高（円）]]/stats[[#This Row],[売上数]]</f>
        <v>82</v>
      </c>
      <c r="G13" s="6">
        <f>COUNTIF(stats[商品ID],stats[[#This Row],[商品ID]])</f>
        <v>1</v>
      </c>
      <c r="H13" s="6">
        <f>-SUMIFS(history[在庫変更数],history[在庫操作タイプ],"注文",history[商品ID],stats[[#This Row],[商品ID]])</f>
        <v>8</v>
      </c>
    </row>
    <row r="14" spans="1:11">
      <c r="A14" s="6" t="s">
        <v>436</v>
      </c>
      <c r="B14" s="6" t="s">
        <v>277</v>
      </c>
      <c r="C14" s="6">
        <v>492</v>
      </c>
      <c r="D14" s="6">
        <v>4</v>
      </c>
      <c r="E14" s="6">
        <v>4</v>
      </c>
      <c r="F14" s="7">
        <f>stats[[#This Row],[売上高（円）]]/stats[[#This Row],[売上数]]</f>
        <v>123</v>
      </c>
      <c r="G14" s="6">
        <f>COUNTIF(stats[商品ID],stats[[#This Row],[商品ID]])</f>
        <v>1</v>
      </c>
      <c r="H14" s="6">
        <f>-SUMIFS(history[在庫変更数],history[在庫操作タイプ],"注文",history[商品ID],stats[[#This Row],[商品ID]])</f>
        <v>4</v>
      </c>
    </row>
    <row r="15" spans="1:11">
      <c r="A15" s="6" t="s">
        <v>424</v>
      </c>
      <c r="B15" s="6" t="s">
        <v>18</v>
      </c>
      <c r="C15" s="6">
        <v>780</v>
      </c>
      <c r="D15" s="6">
        <v>13</v>
      </c>
      <c r="E15" s="6">
        <v>12</v>
      </c>
      <c r="F15" s="7">
        <f>stats[[#This Row],[売上高（円）]]/stats[[#This Row],[売上数]]</f>
        <v>60</v>
      </c>
      <c r="G15" s="6">
        <f>COUNTIF(stats[商品ID],stats[[#This Row],[商品ID]])</f>
        <v>1</v>
      </c>
      <c r="H15" s="6">
        <f>-SUMIFS(history[在庫変更数],history[在庫操作タイプ],"注文",history[商品ID],stats[[#This Row],[商品ID]])</f>
        <v>33</v>
      </c>
    </row>
    <row r="16" spans="1:11">
      <c r="A16" s="6" t="s">
        <v>428</v>
      </c>
      <c r="B16" s="6" t="s">
        <v>35</v>
      </c>
      <c r="C16" s="6">
        <v>938</v>
      </c>
      <c r="D16" s="6">
        <v>7</v>
      </c>
      <c r="E16" s="6">
        <v>7</v>
      </c>
      <c r="F16" s="7">
        <f>stats[[#This Row],[売上高（円）]]/stats[[#This Row],[売上数]]</f>
        <v>134</v>
      </c>
      <c r="G16" s="6">
        <f>COUNTIF(stats[商品ID],stats[[#This Row],[商品ID]])</f>
        <v>1</v>
      </c>
      <c r="H16" s="6">
        <f>-SUMIFS(history[在庫変更数],history[在庫操作タイプ],"注文",history[商品ID],stats[[#This Row],[商品ID]])</f>
        <v>22</v>
      </c>
    </row>
    <row r="17" spans="1:8">
      <c r="A17" s="6" t="s">
        <v>423</v>
      </c>
      <c r="B17" s="6" t="s">
        <v>96</v>
      </c>
      <c r="C17" s="6">
        <v>864</v>
      </c>
      <c r="D17" s="6">
        <v>3</v>
      </c>
      <c r="E17" s="6">
        <v>3</v>
      </c>
      <c r="F17" s="6">
        <f>stats[[#This Row],[売上高（円）]]/stats[[#This Row],[売上数]]</f>
        <v>288</v>
      </c>
      <c r="G17" s="6">
        <f>COUNTIF(stats[商品ID],stats[[#This Row],[商品ID]])</f>
        <v>1</v>
      </c>
      <c r="H17" s="6">
        <f>-SUMIFS(history[在庫変更数],history[在庫操作タイプ],"注文",history[商品ID],stats[[#This Row],[商品ID]])</f>
        <v>6</v>
      </c>
    </row>
    <row r="18" spans="1:8">
      <c r="A18" s="6" t="s">
        <v>439</v>
      </c>
      <c r="B18" s="6" t="s">
        <v>271</v>
      </c>
      <c r="C18" s="6">
        <v>791</v>
      </c>
      <c r="D18" s="6">
        <v>7</v>
      </c>
      <c r="E18" s="6">
        <v>7</v>
      </c>
      <c r="F18" s="7">
        <f>stats[[#This Row],[売上高（円）]]/stats[[#This Row],[売上数]]</f>
        <v>113</v>
      </c>
      <c r="G18" s="6">
        <f>COUNTIF(stats[商品ID],stats[[#This Row],[商品ID]])</f>
        <v>1</v>
      </c>
      <c r="H18" s="6">
        <f>-SUMIFS(history[在庫変更数],history[在庫操作タイプ],"注文",history[商品ID],stats[[#This Row],[商品ID]])</f>
        <v>7</v>
      </c>
    </row>
    <row r="19" spans="1:8">
      <c r="A19" s="6" t="s">
        <v>429</v>
      </c>
      <c r="B19" s="6" t="s">
        <v>49</v>
      </c>
      <c r="C19" s="6">
        <v>186</v>
      </c>
      <c r="D19" s="6">
        <v>3</v>
      </c>
      <c r="E19" s="6">
        <v>3</v>
      </c>
      <c r="F19" s="7">
        <f>stats[[#This Row],[売上高（円）]]/stats[[#This Row],[売上数]]</f>
        <v>62</v>
      </c>
      <c r="G19" s="6">
        <f>COUNTIF(stats[商品ID],stats[[#This Row],[商品ID]])</f>
        <v>1</v>
      </c>
      <c r="H19" s="6">
        <f>-SUMIFS(history[在庫変更数],history[在庫操作タイプ],"注文",history[商品ID],stats[[#This Row],[商品ID]])</f>
        <v>11</v>
      </c>
    </row>
    <row r="20" spans="1:8">
      <c r="A20" s="6" t="s">
        <v>437</v>
      </c>
      <c r="B20" s="6" t="s">
        <v>280</v>
      </c>
      <c r="C20" s="6">
        <v>492</v>
      </c>
      <c r="D20" s="6">
        <v>4</v>
      </c>
      <c r="E20" s="6">
        <v>4</v>
      </c>
      <c r="F20" s="7">
        <f>stats[[#This Row],[売上高（円）]]/stats[[#This Row],[売上数]]</f>
        <v>123</v>
      </c>
      <c r="G20" s="6">
        <f>COUNTIF(stats[商品ID],stats[[#This Row],[商品ID]])</f>
        <v>1</v>
      </c>
      <c r="H20" s="6">
        <f>-SUMIFS(history[在庫変更数],history[在庫操作タイプ],"注文",history[商品ID],stats[[#This Row],[商品ID]])</f>
        <v>4</v>
      </c>
    </row>
    <row r="21" spans="1:8">
      <c r="A21" s="6" t="s">
        <v>467</v>
      </c>
      <c r="B21" s="6" t="s">
        <v>93</v>
      </c>
      <c r="C21" s="6"/>
      <c r="D21" s="6">
        <v>1</v>
      </c>
      <c r="E21" s="6"/>
      <c r="F21" s="7">
        <v>129</v>
      </c>
      <c r="G21" s="7">
        <f>COUNTIF(stats[商品ID],stats[[#This Row],[商品ID]])</f>
        <v>1</v>
      </c>
      <c r="H21" s="6">
        <f>-SUMIFS(history[在庫変更数],history[在庫操作タイプ],"注文",history[商品ID],stats[[#This Row],[商品ID]])</f>
        <v>1</v>
      </c>
    </row>
    <row r="22" spans="1:8">
      <c r="A22" s="6" t="s">
        <v>470</v>
      </c>
      <c r="B22" s="6" t="s">
        <v>62</v>
      </c>
      <c r="C22" s="6"/>
      <c r="D22" s="6">
        <v>1</v>
      </c>
      <c r="E22" s="6"/>
      <c r="F22" s="7">
        <v>255</v>
      </c>
      <c r="G22" s="7">
        <f>COUNTIF(stats[商品ID],stats[[#This Row],[商品ID]])</f>
        <v>1</v>
      </c>
      <c r="H22" s="6">
        <f>-SUMIFS(history[在庫変更数],history[在庫操作タイプ],"注文",history[商品ID],stats[[#This Row],[商品ID]])</f>
        <v>1</v>
      </c>
    </row>
  </sheetData>
  <phoneticPr fontId="2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history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Morishima,Akihito / 森島  章仁</cp:lastModifiedBy>
  <dcterms:created xsi:type="dcterms:W3CDTF">2026-07-29T00:29:56Z</dcterms:created>
  <dcterms:modified xsi:type="dcterms:W3CDTF">2026-07-29T01:40:32Z</dcterms:modified>
</cp:coreProperties>
</file>